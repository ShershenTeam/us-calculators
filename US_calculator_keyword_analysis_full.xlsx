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97f39bba3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Keywords" sheetId="1" r:id="R15f0424e918d4052"/>
    <x:sheet xmlns:r="http://schemas.openxmlformats.org/officeDocument/2006/relationships" name="Real Calculators" sheetId="2" r:id="Rc29ab12362f2474c"/>
    <x:sheet xmlns:r="http://schemas.openxmlformats.org/officeDocument/2006/relationships" name="Top Opportunities" sheetId="3" r:id="Rfeb70c7d81804d69"/>
    <x:sheet xmlns:r="http://schemas.openxmlformats.org/officeDocument/2006/relationships" name="Category Summary" sheetId="4" r:id="R11cfd898778a460c"/>
    <x:sheet xmlns:r="http://schemas.openxmlformats.org/officeDocument/2006/relationships" name="Methodology" sheetId="5" r:id="R38bd332429b7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0.00"/>
    <x:numFmt numFmtId="202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f5c357b8a41d1" /><Relationship Type="http://schemas.openxmlformats.org/officeDocument/2006/relationships/theme" Target="/xl/theme/theme1.xml" Id="R40d2216afbe24c30" /><Relationship Type="http://schemas.openxmlformats.org/officeDocument/2006/relationships/sharedStrings" Target="/xl/sharedStrings.xml" Id="Rdb93ef523284408c" /><Relationship Type="http://schemas.openxmlformats.org/officeDocument/2006/relationships/worksheet" Target="/xl/worksheets/sheet1.xml" Id="R15f0424e918d4052" /><Relationship Type="http://schemas.openxmlformats.org/officeDocument/2006/relationships/worksheet" Target="/xl/worksheets/sheet2.xml" Id="Rc29ab12362f2474c" /><Relationship Type="http://schemas.openxmlformats.org/officeDocument/2006/relationships/worksheet" Target="/xl/worksheets/sheet3.xml" Id="Rfeb70c7d81804d69" /><Relationship Type="http://schemas.openxmlformats.org/officeDocument/2006/relationships/worksheet" Target="/xl/worksheets/sheet4.xml" Id="R11cfd898778a460c" /><Relationship Type="http://schemas.openxmlformats.org/officeDocument/2006/relationships/worksheet" Target="/xl/worksheets/sheet5.xml" Id="R38bd332429b74b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57bc0d90364f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Combined Search Volume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Relevant Keywords</c:v>
          </c:tx>
          <c:cat>
            <c:strRef>
              <c:f>'Category Summary'!$A$2:$A$15</c:f>
              <c:strCache>
                <c:ptCount val="0"/>
              </c:strCache>
            </c:strRef>
          </c:cat>
          <c:val>
            <c:numRef>
              <c:f>'Category Summary'!$B$2:$B$15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Confirmed Real</c:v>
          </c:tx>
          <c:cat>
            <c:strRef>
              <c:f>'Category Summary'!$A$2:$A$15</c:f>
              <c:strCache>
                <c:ptCount val="0"/>
              </c:strCache>
            </c:strRef>
          </c:cat>
          <c:val>
            <c:numRef>
              <c:f>'Category Summary'!$C$2:$C$15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Ambiguous</c:v>
          </c:tx>
          <c:cat>
            <c:strRef>
              <c:f>'Category Summary'!$A$2:$A$15</c:f>
              <c:strCache>
                <c:ptCount val="0"/>
              </c:strCache>
            </c:strRef>
          </c:cat>
          <c:val>
            <c:numRef>
              <c:f>'Category Summary'!$D$2:$D$15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Unique Opportunities</c:v>
          </c:tx>
          <c:cat>
            <c:strRef>
              <c:f>'Category Summary'!$A$2:$A$15</c:f>
              <c:strCache>
                <c:ptCount val="0"/>
              </c:strCache>
            </c:strRef>
          </c:cat>
          <c:val>
            <c:numRef>
              <c:f>'Category Summary'!$E$2:$E$15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Combined Search Volume*</c:v>
          </c:tx>
          <c:cat>
            <c:strRef>
              <c:f>'Category Summary'!$A$2:$A$15</c:f>
              <c:strCache>
                <c:ptCount val="0"/>
              </c:strCache>
            </c:strRef>
          </c:cat>
          <c:val>
            <c:numRef>
              <c:f>'Category Summary'!$F$2:$F$15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57bc0d90364f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KeywordsTable" displayName="AllKeywordsTable" ref="A1:T435" headerRowCount="1">
  <x:tableColumns count="20">
    <x:tableColumn id="1" name="No"/>
    <x:tableColumn id="2" name="Keyword"/>
    <x:tableColumn id="3" name="Search Intent"/>
    <x:tableColumn id="4" name="Search Volume"/>
    <x:tableColumn id="5" name="CPC (USD)"/>
    <x:tableColumn id="6" name="Paid Difficulty"/>
    <x:tableColumn id="7" name="SEO Difficulty"/>
    <x:tableColumn id="8" name="Real Calculator?"/>
    <x:tableColumn id="9" name="Classification Reason"/>
    <x:tableColumn id="10" name="Category"/>
    <x:tableColumn id="11" name="Normalized Opportunity"/>
    <x:tableColumn id="12" name="Keyword Variants"/>
    <x:tableColumn id="13" name="Development Complexity"/>
    <x:tableColumn id="14" name="US Relevance"/>
    <x:tableColumn id="15" name="Monetization"/>
    <x:tableColumn id="16" name="SEO Score"/>
    <x:tableColumn id="17" name="Demand Score"/>
    <x:tableColumn id="18" name="Commercial Score"/>
    <x:tableColumn id="19" name="Overall Priority Score"/>
    <x:tableColumn id="20" name="Recommendation"/>
  </x:tableColumns>
  <x:tableStyleInfo name="TableStyleMedium2" showRowStripes="1"/>
</x:table>
</file>

<file path=xl/tables/table2.xml><?xml version="1.0" encoding="utf-8"?>
<x:table xmlns:x="http://schemas.openxmlformats.org/spreadsheetml/2006/main" id="2" name="RealCalculatorsTable" displayName="RealCalculatorsTable" ref="A1:M255" headerRowCount="1">
  <x:tableColumns count="13">
    <x:tableColumn id="1" name="Rank by Low SEO"/>
    <x:tableColumn id="2" name="Keyword"/>
    <x:tableColumn id="3" name="Category"/>
    <x:tableColumn id="4" name="Search Volume"/>
    <x:tableColumn id="5" name="SEO Difficulty"/>
    <x:tableColumn id="6" name="CPC (USD)"/>
    <x:tableColumn id="7" name="Real Calculator?"/>
    <x:tableColumn id="8" name="Normalized Opportunity"/>
    <x:tableColumn id="9" name="Keyword Variants"/>
    <x:tableColumn id="10" name="Development Complexity"/>
    <x:tableColumn id="11" name="US Relevance"/>
    <x:tableColumn id="12" name="Monetization"/>
    <x:tableColumn id="13" name="Assessment"/>
  </x:tableColumns>
  <x:tableStyleInfo name="TableStyleMedium2" showRowStripes="1"/>
</x:table>
</file>

<file path=xl/tables/table3.xml><?xml version="1.0" encoding="utf-8"?>
<x:table xmlns:x="http://schemas.openxmlformats.org/spreadsheetml/2006/main" id="3" name="TopOpportunitiesTable" displayName="TopOpportunitiesTable" ref="A1:M104" headerRowCount="1">
  <x:tableColumns count="13">
    <x:tableColumn id="1" name="Priority Rank"/>
    <x:tableColumn id="2" name="Calculator Opportunity"/>
    <x:tableColumn id="3" name="Best Keyword"/>
    <x:tableColumn id="4" name="Category"/>
    <x:tableColumn id="5" name="Best SEO Difficulty"/>
    <x:tableColumn id="6" name="Combined Search Volume*"/>
    <x:tableColumn id="7" name="Max CPC (USD)"/>
    <x:tableColumn id="8" name="Keyword Variants"/>
    <x:tableColumn id="9" name="Development Complexity"/>
    <x:tableColumn id="10" name="US Relevance"/>
    <x:tableColumn id="11" name="Monetization"/>
    <x:tableColumn id="12" name="Priority Score"/>
    <x:tableColumn id="13" name="Decision"/>
  </x:tableColumns>
  <x:tableStyleInfo name="TableStyleMedium2" showRowStripes="1"/>
</x:table>
</file>

<file path=xl/tables/table4.xml><?xml version="1.0" encoding="utf-8"?>
<x:table xmlns:x="http://schemas.openxmlformats.org/spreadsheetml/2006/main" id="4" name="CategorySummaryTable" displayName="CategorySummaryTable" ref="A1:H15" headerRowCount="1">
  <x:tableColumns count="8">
    <x:tableColumn id="1" name="Category"/>
    <x:tableColumn id="2" name="Relevant Keywords"/>
    <x:tableColumn id="3" name="Confirmed Real"/>
    <x:tableColumn id="4" name="Ambiguous"/>
    <x:tableColumn id="5" name="Unique Opportunities"/>
    <x:tableColumn id="6" name="Combined Search Volume*"/>
    <x:tableColumn id="7" name="Average SEO Difficulty"/>
    <x:tableColumn id="8" name="Average CPC (USD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0db80477e142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e58f750ceb42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bc2bd80c8c41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c56428e2fe642b7" /><Relationship Type="http://schemas.openxmlformats.org/officeDocument/2006/relationships/table" Target="/xl/tables/table4.xml" Id="R58665dc8511445e2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2" hidden="0" customWidth="1"/>
    <x:col min="4" max="4" width="15" hidden="0" customWidth="1"/>
    <x:col min="5" max="5" width="12" hidden="0" customWidth="1"/>
    <x:col min="6" max="6" width="14" hidden="0" customWidth="1"/>
    <x:col min="7" max="7" width="14" hidden="0" customWidth="1"/>
    <x:col min="8" max="8" width="15" hidden="0" customWidth="1"/>
    <x:col min="9" max="9" width="38" hidden="0" customWidth="1"/>
    <x:col min="10" max="10" width="28" hidden="0" customWidth="1"/>
    <x:col min="11" max="11" width="34" hidden="0" customWidth="1"/>
    <x:col min="12" max="12" width="14" hidden="0" customWidth="1"/>
    <x:col min="13" max="13" width="18" hidden="0" customWidth="1"/>
    <x:col min="14" max="14" width="13" hidden="0" customWidth="1"/>
    <x:col min="15" max="15" width="24" hidden="0" customWidth="1"/>
    <x:col min="16" max="16" width="11" hidden="0" customWidth="1"/>
    <x:col min="17" max="17" width="12" hidden="0" customWidth="1"/>
    <x:col min="18" max="18" width="14" hidden="0" customWidth="1"/>
    <x:col min="19" max="19" width="18" hidden="0" customWidth="1"/>
    <x:col min="20" max="20" width="15" hidden="0" customWidth="1"/>
  </x:cols>
  <x:sheetData>
    <x:row r="1">
      <x:c r="A1" s="8" t="str">
        <x:v>No</x:v>
      </x:c>
      <x:c r="B1" s="8" t="str">
        <x:v>Keyword</x:v>
      </x:c>
      <x:c r="C1" s="8" t="str">
        <x:v>Search Intent</x:v>
      </x:c>
      <x:c r="D1" s="8" t="str">
        <x:v>Search Volume</x:v>
      </x:c>
      <x:c r="E1" s="8" t="str">
        <x:v>CPC (USD)</x:v>
      </x:c>
      <x:c r="F1" s="8" t="str">
        <x:v>Paid Difficulty</x:v>
      </x:c>
      <x:c r="G1" s="8" t="str">
        <x:v>SEO Difficulty</x:v>
      </x:c>
      <x:c r="H1" s="8" t="str">
        <x:v>Real Calculator?</x:v>
      </x:c>
      <x:c r="I1" s="8" t="str">
        <x:v>Classification Reason</x:v>
      </x:c>
      <x:c r="J1" s="8" t="str">
        <x:v>Category</x:v>
      </x:c>
      <x:c r="K1" s="8" t="str">
        <x:v>Normalized Opportunity</x:v>
      </x:c>
      <x:c r="L1" s="8" t="str">
        <x:v>Keyword Variants</x:v>
      </x:c>
      <x:c r="M1" s="8" t="str">
        <x:v>Development Complexity</x:v>
      </x:c>
      <x:c r="N1" s="8" t="str">
        <x:v>US Relevance</x:v>
      </x:c>
      <x:c r="O1" s="8" t="str">
        <x:v>Monetization</x:v>
      </x:c>
      <x:c r="P1" s="8" t="str">
        <x:v>SEO Score</x:v>
      </x:c>
      <x:c r="Q1" s="8" t="str">
        <x:v>Demand Score</x:v>
      </x:c>
      <x:c r="R1" s="8" t="str">
        <x:v>Commercial Score</x:v>
      </x:c>
      <x:c r="S1" s="8" t="str">
        <x:v>Overall Priority Score</x:v>
      </x:c>
      <x:c r="T1" s="8" t="str">
        <x:v>Recommendation</x:v>
      </x:c>
    </x:row>
    <x:row r="2">
      <x:c r="A2" s="14" t="n">
        <x:v>1</x:v>
      </x:c>
      <x:c r="B2" s="18" t="str">
        <x:v>calculator</x:v>
      </x:c>
      <x:c r="C2" s="18" t="str">
        <x:v>informational, transactional</x:v>
      </x:c>
      <x:c r="D2" s="26" t="n">
        <x:v>30400000</x:v>
      </x:c>
      <x:c r="E2" s="28" t="n">
        <x:v>1.46</x:v>
      </x:c>
      <x:c r="F2" s="14" t="n">
        <x:v>1</x:v>
      </x:c>
      <x:c r="G2" s="14" t="n">
        <x:v>88</x:v>
      </x:c>
      <x:c r="H2" s="14" t="str">
        <x:v>Maybe</x:v>
      </x:c>
      <x:c r="I2" s="18" t="str">
        <x:v>Insufficiently specific; requires SERP validation before development</x:v>
      </x:c>
      <x:c r="J2" s="18" t="str">
        <x:v>General / Other</x:v>
      </x:c>
      <x:c r="K2" s="18" t="str"/>
      <x:c r="L2" s="18" t="n">
        <x:v>0</x:v>
      </x:c>
      <x:c r="M2" s="18" t="str">
        <x:v>Easy</x:v>
      </x:c>
      <x:c r="N2" s="18" t="str">
        <x:v>Medium</x:v>
      </x:c>
      <x:c r="O2" s="18" t="str">
        <x:v>Ads</x:v>
      </x:c>
      <x:c r="P2" s="30" t="n">
        <x:f>MAX(0,100-G2)</x:f>
        <x:v>12</x:v>
      </x:c>
      <x:c r="Q2" s="30" t="n">
        <x:f>MIN(100,ROUND(LOG10(D2+1)*18,0))</x:f>
        <x:v>100</x:v>
      </x:c>
      <x:c r="R2" s="30" t="n">
        <x:f>MIN(100,ROUND(E2*12,0))</x:f>
        <x:v>18</x:v>
      </x:c>
      <x:c r="S2" s="30" t="n">
        <x:f>IF(H2="No",0,ROUND(P2*0.45+Q2*0.30+R2*0.15+IF(M2="Easy",10,IF(M2="Medium",6,2))+IF(N2="High",5,IF(N2="Medium",3,0)),1))</x:f>
        <x:v>51.1</x:v>
      </x:c>
      <x:c r="T2" s="14" t="str">
        <x:f>IF(H2="No","Exclude",IF(S2&gt;=70,"Priority 1",IF(S2&gt;=55,"Priority 2",IF(S2&gt;=40,"Priority 3","Low priority"))))</x:f>
        <x:v>Priority 3</x:v>
      </x:c>
    </x:row>
    <x:row r="3">
      <x:c r="A3" s="14" t="n">
        <x:v>2</x:v>
      </x:c>
      <x:c r="B3" s="18" t="str">
        <x:v>calculator 0 to absolute infinity</x:v>
      </x:c>
      <x:c r="C3" s="18" t="str">
        <x:v>null</x:v>
      </x:c>
      <x:c r="D3" s="26" t="n">
        <x:v>0</x:v>
      </x:c>
      <x:c r="E3" s="28" t="n">
        <x:v>0</x:v>
      </x:c>
      <x:c r="F3" s="14" t="n">
        <x:v>1</x:v>
      </x:c>
      <x:c r="G3" s="14" t="n">
        <x:v>4</x:v>
      </x:c>
      <x:c r="H3" s="14" t="str">
        <x:v>Yes</x:v>
      </x:c>
      <x:c r="I3" s="18" t="str">
        <x:v>Clear calculation, conversion, estimation, or formula intent</x:v>
      </x:c>
      <x:c r="J3" s="18" t="str">
        <x:v>Math &amp; Education</x:v>
      </x:c>
      <x:c r="K3" s="18" t="str">
        <x:v>0 To Absolute Infinity calculator</x:v>
      </x:c>
      <x:c r="L3" s="18" t="n">
        <x:v>1</x:v>
      </x:c>
      <x:c r="M3" s="18" t="str">
        <x:v>Easy</x:v>
      </x:c>
      <x:c r="N3" s="18" t="str">
        <x:v>Medium</x:v>
      </x:c>
      <x:c r="O3" s="18" t="str">
        <x:v>Ads / EdTech</x:v>
      </x:c>
      <x:c r="P3" s="30" t="n">
        <x:f>MAX(0,100-G3)</x:f>
        <x:v>96</x:v>
      </x:c>
      <x:c r="Q3" s="30" t="n">
        <x:f>MIN(100,ROUND(LOG10(D3+1)*18,0))</x:f>
        <x:v>0</x:v>
      </x:c>
      <x:c r="R3" s="30" t="n">
        <x:f>MIN(100,ROUND(E3*12,0))</x:f>
        <x:v>0</x:v>
      </x:c>
      <x:c r="S3" s="30" t="n">
        <x:f>IF(H3="No",0,ROUND(P3*0.45+Q3*0.30+R3*0.15+IF(M3="Easy",10,IF(M3="Medium",6,2))+IF(N3="High",5,IF(N3="Medium",3,0)),1))</x:f>
        <x:v>56.2</x:v>
      </x:c>
      <x:c r="T3" s="14" t="str">
        <x:f>IF(H3="No","Exclude",IF(S3&gt;=70,"Priority 1",IF(S3&gt;=55,"Priority 2",IF(S3&gt;=40,"Priority 3","Low priority"))))</x:f>
        <x:v>Priority 2</x:v>
      </x:c>
    </x:row>
    <x:row r="4">
      <x:c r="A4" s="14" t="n">
        <x:v>3</x:v>
      </x:c>
      <x:c r="B4" s="18" t="str">
        <x:v>calculator 30 percent off</x:v>
      </x:c>
      <x:c r="C4" s="18" t="str">
        <x:v>null</x:v>
      </x:c>
      <x:c r="D4" s="26" t="n">
        <x:v>0</x:v>
      </x:c>
      <x:c r="E4" s="28" t="n">
        <x:v>0</x:v>
      </x:c>
      <x:c r="F4" s="14" t="n">
        <x:v>1</x:v>
      </x:c>
      <x:c r="G4" s="14" t="n">
        <x:v>4</x:v>
      </x:c>
      <x:c r="H4" s="14" t="str">
        <x:v>Yes</x:v>
      </x:c>
      <x:c r="I4" s="18" t="str">
        <x:v>Clear calculation, conversion, estimation, or formula intent</x:v>
      </x:c>
      <x:c r="J4" s="18" t="str">
        <x:v>Math &amp; Education</x:v>
      </x:c>
      <x:c r="K4" s="18" t="str">
        <x:v>Discount/percentage-off calculator</x:v>
      </x:c>
      <x:c r="L4" s="18" t="n">
        <x:v>3</x:v>
      </x:c>
      <x:c r="M4" s="18" t="str">
        <x:v>Easy</x:v>
      </x:c>
      <x:c r="N4" s="18" t="str">
        <x:v>Medium</x:v>
      </x:c>
      <x:c r="O4" s="18" t="str">
        <x:v>Ads / EdTech</x:v>
      </x:c>
      <x:c r="P4" s="30" t="n">
        <x:f>MAX(0,100-G4)</x:f>
        <x:v>96</x:v>
      </x:c>
      <x:c r="Q4" s="30" t="n">
        <x:f>MIN(100,ROUND(LOG10(D4+1)*18,0))</x:f>
        <x:v>0</x:v>
      </x:c>
      <x:c r="R4" s="30" t="n">
        <x:f>MIN(100,ROUND(E4*12,0))</x:f>
        <x:v>0</x:v>
      </x:c>
      <x:c r="S4" s="30" t="n">
        <x:f>IF(H4="No",0,ROUND(P4*0.45+Q4*0.30+R4*0.15+IF(M4="Easy",10,IF(M4="Medium",6,2))+IF(N4="High",5,IF(N4="Medium",3,0)),1))</x:f>
        <x:v>56.2</x:v>
      </x:c>
      <x:c r="T4" s="14" t="str">
        <x:f>IF(H4="No","Exclude",IF(S4&gt;=70,"Priority 1",IF(S4&gt;=55,"Priority 2",IF(S4&gt;=40,"Priority 3","Low priority"))))</x:f>
        <x:v>Priority 2</x:v>
      </x:c>
    </x:row>
    <x:row r="5">
      <x:c r="A5" s="14" t="n">
        <x:v>4</x:v>
      </x:c>
      <x:c r="B5" s="18" t="str">
        <x:v>calculator 401k chart by age</x:v>
      </x:c>
      <x:c r="C5" s="18" t="str">
        <x:v>null</x:v>
      </x:c>
      <x:c r="D5" s="26" t="n">
        <x:v>0</x:v>
      </x:c>
      <x:c r="E5" s="28" t="n">
        <x:v>0</x:v>
      </x:c>
      <x:c r="F5" s="14" t="n">
        <x:v>1</x:v>
      </x:c>
      <x:c r="G5" s="14" t="n">
        <x:v>4</x:v>
      </x:c>
      <x:c r="H5" s="14" t="str">
        <x:v>Yes</x:v>
      </x:c>
      <x:c r="I5" s="18" t="str">
        <x:v>Clear calculation, conversion, estimation, or formula intent</x:v>
      </x:c>
      <x:c r="J5" s="18" t="str">
        <x:v>Personal Finance &amp; Investing</x:v>
      </x:c>
      <x:c r="K5" s="18" t="str">
        <x:v>401K Chart By Age calculator</x:v>
      </x:c>
      <x:c r="L5" s="18" t="n">
        <x:v>1</x:v>
      </x:c>
      <x:c r="M5" s="18" t="str">
        <x:v>Medium</x:v>
      </x:c>
      <x:c r="N5" s="18" t="str">
        <x:v>High</x:v>
      </x:c>
      <x:c r="O5" s="18" t="str">
        <x:v>Ads / Leads / Affiliate</x:v>
      </x:c>
      <x:c r="P5" s="30" t="n">
        <x:f>MAX(0,100-G5)</x:f>
        <x:v>96</x:v>
      </x:c>
      <x:c r="Q5" s="30" t="n">
        <x:f>MIN(100,ROUND(LOG10(D5+1)*18,0))</x:f>
        <x:v>0</x:v>
      </x:c>
      <x:c r="R5" s="30" t="n">
        <x:f>MIN(100,ROUND(E5*12,0))</x:f>
        <x:v>0</x:v>
      </x:c>
      <x:c r="S5" s="30" t="n">
        <x:f>IF(H5="No",0,ROUND(P5*0.45+Q5*0.30+R5*0.15+IF(M5="Easy",10,IF(M5="Medium",6,2))+IF(N5="High",5,IF(N5="Medium",3,0)),1))</x:f>
        <x:v>54.2</x:v>
      </x:c>
      <x:c r="T5" s="14" t="str">
        <x:f>IF(H5="No","Exclude",IF(S5&gt;=70,"Priority 1",IF(S5&gt;=55,"Priority 2",IF(S5&gt;=40,"Priority 3","Low priority"))))</x:f>
        <x:v>Priority 3</x:v>
      </x:c>
    </x:row>
    <x:row r="6">
      <x:c r="A6" s="14" t="n">
        <x:v>5</x:v>
      </x:c>
      <x:c r="B6" s="18" t="str">
        <x:v>calculator 60 days from date</x:v>
      </x:c>
      <x:c r="C6" s="18" t="str">
        <x:v>null</x:v>
      </x:c>
      <x:c r="D6" s="26" t="n">
        <x:v>0</x:v>
      </x:c>
      <x:c r="E6" s="28" t="n">
        <x:v>0</x:v>
      </x:c>
      <x:c r="F6" s="14" t="n">
        <x:v>1</x:v>
      </x:c>
      <x:c r="G6" s="14" t="n">
        <x:v>4</x:v>
      </x:c>
      <x:c r="H6" s="14" t="str">
        <x:v>Yes</x:v>
      </x:c>
      <x:c r="I6" s="18" t="str">
        <x:v>Clear calculation, conversion, estimation, or formula intent</x:v>
      </x:c>
      <x:c r="J6" s="18" t="str">
        <x:v>Date &amp; Time</x:v>
      </x:c>
      <x:c r="K6" s="18" t="str">
        <x:v>Date calculator</x:v>
      </x:c>
      <x:c r="L6" s="18" t="n">
        <x:v>9</x:v>
      </x:c>
      <x:c r="M6" s="18" t="str">
        <x:v>Easy</x:v>
      </x:c>
      <x:c r="N6" s="18" t="str">
        <x:v>Medium</x:v>
      </x:c>
      <x:c r="O6" s="18" t="str">
        <x:v>Ads</x:v>
      </x:c>
      <x:c r="P6" s="30" t="n">
        <x:f>MAX(0,100-G6)</x:f>
        <x:v>96</x:v>
      </x:c>
      <x:c r="Q6" s="30" t="n">
        <x:f>MIN(100,ROUND(LOG10(D6+1)*18,0))</x:f>
        <x:v>0</x:v>
      </x:c>
      <x:c r="R6" s="30" t="n">
        <x:f>MIN(100,ROUND(E6*12,0))</x:f>
        <x:v>0</x:v>
      </x:c>
      <x:c r="S6" s="30" t="n">
        <x:f>IF(H6="No",0,ROUND(P6*0.45+Q6*0.30+R6*0.15+IF(M6="Easy",10,IF(M6="Medium",6,2))+IF(N6="High",5,IF(N6="Medium",3,0)),1))</x:f>
        <x:v>56.2</x:v>
      </x:c>
      <x:c r="T6" s="14" t="str">
        <x:f>IF(H6="No","Exclude",IF(S6&gt;=70,"Priority 1",IF(S6&gt;=55,"Priority 2",IF(S6&gt;=40,"Priority 3","Low priority"))))</x:f>
        <x:v>Priority 2</x:v>
      </x:c>
    </x:row>
    <x:row r="7">
      <x:c r="A7" s="14" t="n">
        <x:v>6</x:v>
      </x:c>
      <x:c r="B7" s="18" t="str">
        <x:v>calculator 6 9 trick</x:v>
      </x:c>
      <x:c r="C7" s="18" t="str">
        <x:v>null</x:v>
      </x:c>
      <x:c r="D7" s="26" t="n">
        <x:v>0</x:v>
      </x:c>
      <x:c r="E7" s="28" t="n">
        <x:v>0</x:v>
      </x:c>
      <x:c r="F7" s="14" t="n">
        <x:v>1</x:v>
      </x:c>
      <x:c r="G7" s="14" t="n">
        <x:v>4</x:v>
      </x:c>
      <x:c r="H7" s="14" t="str">
        <x:v>No</x:v>
      </x:c>
      <x:c r="I7" s="18" t="str">
        <x:v>No measurable volume and no clear calculator-specific intent</x:v>
      </x:c>
      <x:c r="J7" s="18" t="str">
        <x:v>Excluded / Non-calculator</x:v>
      </x:c>
      <x:c r="K7" s="18" t="str"/>
      <x:c r="L7" s="18" t="n">
        <x:v>0</x:v>
      </x:c>
      <x:c r="M7" s="18" t="str"/>
      <x:c r="N7" s="18" t="str"/>
      <x:c r="O7" s="18" t="str"/>
      <x:c r="P7" s="30" t="n">
        <x:f>MAX(0,100-G7)</x:f>
        <x:v>96</x:v>
      </x:c>
      <x:c r="Q7" s="30" t="n">
        <x:f>MIN(100,ROUND(LOG10(D7+1)*18,0))</x:f>
        <x:v>0</x:v>
      </x:c>
      <x:c r="R7" s="30" t="n">
        <x:f>MIN(100,ROUND(E7*12,0))</x:f>
        <x:v>0</x:v>
      </x:c>
      <x:c r="S7" s="30" t="n">
        <x:f>IF(H7="No",0,ROUND(P7*0.45+Q7*0.30+R7*0.15+IF(M7="Easy",10,IF(M7="Medium",6,2))+IF(N7="High",5,IF(N7="Medium",3,0)),1))</x:f>
        <x:v>0</x:v>
      </x:c>
      <x:c r="T7" s="14" t="str">
        <x:f>IF(H7="No","Exclude",IF(S7&gt;=70,"Priority 1",IF(S7&gt;=55,"Priority 2",IF(S7&gt;=40,"Priority 3","Low priority"))))</x:f>
        <x:v>Exclude</x:v>
      </x:c>
    </x:row>
    <x:row r="8">
      <x:c r="A8" s="14" t="n">
        <x:v>7</x:v>
      </x:c>
      <x:c r="B8" s="18" t="str">
        <x:v>calculator 6 minute walk test</x:v>
      </x:c>
      <x:c r="C8" s="18" t="str">
        <x:v>null</x:v>
      </x:c>
      <x:c r="D8" s="26" t="n">
        <x:v>0</x:v>
      </x:c>
      <x:c r="E8" s="28" t="n">
        <x:v>0</x:v>
      </x:c>
      <x:c r="F8" s="14" t="n">
        <x:v>1</x:v>
      </x:c>
      <x:c r="G8" s="14" t="n">
        <x:v>4</x:v>
      </x:c>
      <x:c r="H8" s="14" t="str">
        <x:v>Yes</x:v>
      </x:c>
      <x:c r="I8" s="18" t="str">
        <x:v>Clear calculation, conversion, estimation, or formula intent</x:v>
      </x:c>
      <x:c r="J8" s="18" t="str">
        <x:v>Health, Nutrition &amp; Fitness</x:v>
      </x:c>
      <x:c r="K8" s="18" t="str">
        <x:v>6 Minute Walk Test calculator</x:v>
      </x:c>
      <x:c r="L8" s="18" t="n">
        <x:v>1</x:v>
      </x:c>
      <x:c r="M8" s="18" t="str">
        <x:v>Easy</x:v>
      </x:c>
      <x:c r="N8" s="18" t="str">
        <x:v>Medium</x:v>
      </x:c>
      <x:c r="O8" s="18" t="str">
        <x:v>Ads / Affiliate</x:v>
      </x:c>
      <x:c r="P8" s="30" t="n">
        <x:f>MAX(0,100-G8)</x:f>
        <x:v>96</x:v>
      </x:c>
      <x:c r="Q8" s="30" t="n">
        <x:f>MIN(100,ROUND(LOG10(D8+1)*18,0))</x:f>
        <x:v>0</x:v>
      </x:c>
      <x:c r="R8" s="30" t="n">
        <x:f>MIN(100,ROUND(E8*12,0))</x:f>
        <x:v>0</x:v>
      </x:c>
      <x:c r="S8" s="30" t="n">
        <x:f>IF(H8="No",0,ROUND(P8*0.45+Q8*0.30+R8*0.15+IF(M8="Easy",10,IF(M8="Medium",6,2))+IF(N8="High",5,IF(N8="Medium",3,0)),1))</x:f>
        <x:v>56.2</x:v>
      </x:c>
      <x:c r="T8" s="14" t="str">
        <x:f>IF(H8="No","Exclude",IF(S8&gt;=70,"Priority 1",IF(S8&gt;=55,"Priority 2",IF(S8&gt;=40,"Priority 3","Low priority"))))</x:f>
        <x:v>Priority 2</x:v>
      </x:c>
    </x:row>
    <x:row r="9">
      <x:c r="A9" s="14" t="n">
        <x:v>8</x:v>
      </x:c>
      <x:c r="B9" s="18" t="str">
        <x:v>calculator 60 days from today</x:v>
      </x:c>
      <x:c r="C9" s="18" t="str">
        <x:v>null</x:v>
      </x:c>
      <x:c r="D9" s="26" t="n">
        <x:v>0</x:v>
      </x:c>
      <x:c r="E9" s="28" t="n">
        <x:v>0</x:v>
      </x:c>
      <x:c r="F9" s="14" t="n">
        <x:v>1</x:v>
      </x:c>
      <x:c r="G9" s="14" t="n">
        <x:v>4</x:v>
      </x:c>
      <x:c r="H9" s="14" t="str">
        <x:v>Yes</x:v>
      </x:c>
      <x:c r="I9" s="18" t="str">
        <x:v>Clear calculation, conversion, estimation, or formula intent</x:v>
      </x:c>
      <x:c r="J9" s="18" t="str">
        <x:v>Date &amp; Time</x:v>
      </x:c>
      <x:c r="K9" s="18" t="str">
        <x:v>60 Days From Today calculator</x:v>
      </x:c>
      <x:c r="L9" s="18" t="n">
        <x:v>1</x:v>
      </x:c>
      <x:c r="M9" s="18" t="str">
        <x:v>Easy</x:v>
      </x:c>
      <x:c r="N9" s="18" t="str">
        <x:v>Medium</x:v>
      </x:c>
      <x:c r="O9" s="18" t="str">
        <x:v>Ads</x:v>
      </x:c>
      <x:c r="P9" s="30" t="n">
        <x:f>MAX(0,100-G9)</x:f>
        <x:v>96</x:v>
      </x:c>
      <x:c r="Q9" s="30" t="n">
        <x:f>MIN(100,ROUND(LOG10(D9+1)*18,0))</x:f>
        <x:v>0</x:v>
      </x:c>
      <x:c r="R9" s="30" t="n">
        <x:f>MIN(100,ROUND(E9*12,0))</x:f>
        <x:v>0</x:v>
      </x:c>
      <x:c r="S9" s="30" t="n">
        <x:f>IF(H9="No",0,ROUND(P9*0.45+Q9*0.30+R9*0.15+IF(M9="Easy",10,IF(M9="Medium",6,2))+IF(N9="High",5,IF(N9="Medium",3,0)),1))</x:f>
        <x:v>56.2</x:v>
      </x:c>
      <x:c r="T9" s="14" t="str">
        <x:f>IF(H9="No","Exclude",IF(S9&gt;=70,"Priority 1",IF(S9&gt;=55,"Priority 2",IF(S9&gt;=40,"Priority 3","Low priority"))))</x:f>
        <x:v>Priority 2</x:v>
      </x:c>
    </x:row>
    <x:row r="10">
      <x:c r="A10" s="14" t="n">
        <x:v>9</x:v>
      </x:c>
      <x:c r="B10" s="18" t="str">
        <x:v>calculator 70 20 10</x:v>
      </x:c>
      <x:c r="C10" s="18" t="str">
        <x:v>null</x:v>
      </x:c>
      <x:c r="D10" s="26" t="n">
        <x:v>0</x:v>
      </x:c>
      <x:c r="E10" s="28" t="n">
        <x:v>0</x:v>
      </x:c>
      <x:c r="F10" s="14" t="n">
        <x:v>1</x:v>
      </x:c>
      <x:c r="G10" s="14" t="n">
        <x:v>4</x:v>
      </x:c>
      <x:c r="H10" s="14" t="str">
        <x:v>Yes</x:v>
      </x:c>
      <x:c r="I10" s="18" t="str">
        <x:v>Clear calculation, conversion, estimation, or formula intent</x:v>
      </x:c>
      <x:c r="J10" s="18" t="str">
        <x:v>General / Other</x:v>
      </x:c>
      <x:c r="K10" s="18" t="str">
        <x:v>70 20 10 calculator</x:v>
      </x:c>
      <x:c r="L10" s="18" t="n">
        <x:v>1</x:v>
      </x:c>
      <x:c r="M10" s="18" t="str">
        <x:v>Easy</x:v>
      </x:c>
      <x:c r="N10" s="18" t="str">
        <x:v>Medium</x:v>
      </x:c>
      <x:c r="O10" s="18" t="str">
        <x:v>Ads</x:v>
      </x:c>
      <x:c r="P10" s="30" t="n">
        <x:f>MAX(0,100-G10)</x:f>
        <x:v>96</x:v>
      </x:c>
      <x:c r="Q10" s="30" t="n">
        <x:f>MIN(100,ROUND(LOG10(D10+1)*18,0))</x:f>
        <x:v>0</x:v>
      </x:c>
      <x:c r="R10" s="30" t="n">
        <x:f>MIN(100,ROUND(E10*12,0))</x:f>
        <x:v>0</x:v>
      </x:c>
      <x:c r="S10" s="30" t="n">
        <x:f>IF(H10="No",0,ROUND(P10*0.45+Q10*0.30+R10*0.15+IF(M10="Easy",10,IF(M10="Medium",6,2))+IF(N10="High",5,IF(N10="Medium",3,0)),1))</x:f>
        <x:v>56.2</x:v>
      </x:c>
      <x:c r="T10" s="14" t="str">
        <x:f>IF(H10="No","Exclude",IF(S10&gt;=70,"Priority 1",IF(S10&gt;=55,"Priority 2",IF(S10&gt;=40,"Priority 3","Low priority"))))</x:f>
        <x:v>Priority 2</x:v>
      </x:c>
    </x:row>
    <x:row r="11">
      <x:c r="A11" s="14" t="n">
        <x:v>10</x:v>
      </x:c>
      <x:c r="B11" s="18" t="str">
        <x:v>calculator 7th cpc pay matrix</x:v>
      </x:c>
      <x:c r="C11" s="18" t="str">
        <x:v>null</x:v>
      </x:c>
      <x:c r="D11" s="26" t="n">
        <x:v>0</x:v>
      </x:c>
      <x:c r="E11" s="28" t="n">
        <x:v>0</x:v>
      </x:c>
      <x:c r="F11" s="14" t="n">
        <x:v>1</x:v>
      </x:c>
      <x:c r="G11" s="14" t="n">
        <x:v>4</x:v>
      </x:c>
      <x:c r="H11" s="14" t="str">
        <x:v>Yes</x:v>
      </x:c>
      <x:c r="I11" s="18" t="str">
        <x:v>Clear calculation, conversion, estimation, or formula intent</x:v>
      </x:c>
      <x:c r="J11" s="18" t="str">
        <x:v>Salary, Payroll &amp; Tax</x:v>
      </x:c>
      <x:c r="K11" s="18" t="str">
        <x:v>7Th Cpc Pay Matrix calculator</x:v>
      </x:c>
      <x:c r="L11" s="18" t="n">
        <x:v>1</x:v>
      </x:c>
      <x:c r="M11" s="18" t="str">
        <x:v>Easy</x:v>
      </x:c>
      <x:c r="N11" s="18" t="str">
        <x:v>Low</x:v>
      </x:c>
      <x:c r="O11" s="18" t="str">
        <x:v>Ads / SaaS leads</x:v>
      </x:c>
      <x:c r="P11" s="30" t="n">
        <x:f>MAX(0,100-G11)</x:f>
        <x:v>96</x:v>
      </x:c>
      <x:c r="Q11" s="30" t="n">
        <x:f>MIN(100,ROUND(LOG10(D11+1)*18,0))</x:f>
        <x:v>0</x:v>
      </x:c>
      <x:c r="R11" s="30" t="n">
        <x:f>MIN(100,ROUND(E11*12,0))</x:f>
        <x:v>0</x:v>
      </x:c>
      <x:c r="S11" s="30" t="n">
        <x:f>IF(H11="No",0,ROUND(P11*0.45+Q11*0.30+R11*0.15+IF(M11="Easy",10,IF(M11="Medium",6,2))+IF(N11="High",5,IF(N11="Medium",3,0)),1))</x:f>
        <x:v>53.2</x:v>
      </x:c>
      <x:c r="T11" s="14" t="str">
        <x:f>IF(H11="No","Exclude",IF(S11&gt;=70,"Priority 1",IF(S11&gt;=55,"Priority 2",IF(S11&gt;=40,"Priority 3","Low priority"))))</x:f>
        <x:v>Priority 3</x:v>
      </x:c>
    </x:row>
    <x:row r="12">
      <x:c r="A12" s="14" t="n">
        <x:v>11</x:v>
      </x:c>
      <x:c r="B12" s="18" t="str">
        <x:v>calculator 991 cw price in bangladesh</x:v>
      </x:c>
      <x:c r="C12" s="18" t="str">
        <x:v>null</x:v>
      </x:c>
      <x:c r="D12" s="26" t="n">
        <x:v>0</x:v>
      </x:c>
      <x:c r="E12" s="28" t="n">
        <x:v>0</x:v>
      </x:c>
      <x:c r="F12" s="14" t="n">
        <x:v>1</x:v>
      </x:c>
      <x:c r="G12" s="14" t="n">
        <x:v>4</x:v>
      </x:c>
      <x:c r="H12" s="14" t="str">
        <x:v>No</x:v>
      </x:c>
      <x:c r="I12" s="18" t="str">
        <x:v>App/product/brand/navigation/media intent rather than a calculation</x:v>
      </x:c>
      <x:c r="J12" s="18" t="str">
        <x:v>Excluded / Non-calculator</x:v>
      </x:c>
      <x:c r="K12" s="18" t="str"/>
      <x:c r="L12" s="18" t="n">
        <x:v>0</x:v>
      </x:c>
      <x:c r="M12" s="18" t="str"/>
      <x:c r="N12" s="18" t="str"/>
      <x:c r="O12" s="18" t="str"/>
      <x:c r="P12" s="30" t="n">
        <x:f>MAX(0,100-G12)</x:f>
        <x:v>96</x:v>
      </x:c>
      <x:c r="Q12" s="30" t="n">
        <x:f>MIN(100,ROUND(LOG10(D12+1)*18,0))</x:f>
        <x:v>0</x:v>
      </x:c>
      <x:c r="R12" s="30" t="n">
        <x:f>MIN(100,ROUND(E12*12,0))</x:f>
        <x:v>0</x:v>
      </x:c>
      <x:c r="S12" s="30" t="n">
        <x:f>IF(H12="No",0,ROUND(P12*0.45+Q12*0.30+R12*0.15+IF(M12="Easy",10,IF(M12="Medium",6,2))+IF(N12="High",5,IF(N12="Medium",3,0)),1))</x:f>
        <x:v>0</x:v>
      </x:c>
      <x:c r="T12" s="14" t="str">
        <x:f>IF(H12="No","Exclude",IF(S12&gt;=70,"Priority 1",IF(S12&gt;=55,"Priority 2",IF(S12&gt;=40,"Priority 3","Low priority"))))</x:f>
        <x:v>Exclude</x:v>
      </x:c>
    </x:row>
    <x:row r="13">
      <x:c r="A13" s="14" t="n">
        <x:v>12</x:v>
      </x:c>
      <x:c r="B13" s="18" t="str">
        <x:v>calculator 991ms price in bd</x:v>
      </x:c>
      <x:c r="C13" s="18" t="str">
        <x:v>null</x:v>
      </x:c>
      <x:c r="D13" s="26" t="n">
        <x:v>0</x:v>
      </x:c>
      <x:c r="E13" s="28" t="n">
        <x:v>0</x:v>
      </x:c>
      <x:c r="F13" s="14" t="n">
        <x:v>1</x:v>
      </x:c>
      <x:c r="G13" s="14" t="n">
        <x:v>4</x:v>
      </x:c>
      <x:c r="H13" s="14" t="str">
        <x:v>No</x:v>
      </x:c>
      <x:c r="I13" s="18" t="str">
        <x:v>App/product/brand/navigation/media intent rather than a calculation</x:v>
      </x:c>
      <x:c r="J13" s="18" t="str">
        <x:v>Excluded / Non-calculator</x:v>
      </x:c>
      <x:c r="K13" s="18" t="str"/>
      <x:c r="L13" s="18" t="n">
        <x:v>0</x:v>
      </x:c>
      <x:c r="M13" s="18" t="str"/>
      <x:c r="N13" s="18" t="str"/>
      <x:c r="O13" s="18" t="str"/>
      <x:c r="P13" s="30" t="n">
        <x:f>MAX(0,100-G13)</x:f>
        <x:v>96</x:v>
      </x:c>
      <x:c r="Q13" s="30" t="n">
        <x:f>MIN(100,ROUND(LOG10(D13+1)*18,0))</x:f>
        <x:v>0</x:v>
      </x:c>
      <x:c r="R13" s="30" t="n">
        <x:f>MIN(100,ROUND(E13*12,0))</x:f>
        <x:v>0</x:v>
      </x:c>
      <x:c r="S13" s="30" t="n">
        <x:f>IF(H13="No",0,ROUND(P13*0.45+Q13*0.30+R13*0.15+IF(M13="Easy",10,IF(M13="Medium",6,2))+IF(N13="High",5,IF(N13="Medium",3,0)),1))</x:f>
        <x:v>0</x:v>
      </x:c>
      <x:c r="T13" s="14" t="str">
        <x:f>IF(H13="No","Exclude",IF(S13&gt;=70,"Priority 1",IF(S13&gt;=55,"Priority 2",IF(S13&gt;=40,"Priority 3","Low priority"))))</x:f>
        <x:v>Exclude</x:v>
      </x:c>
    </x:row>
    <x:row r="14">
      <x:c r="A14" s="14" t="n">
        <x:v>13</x:v>
      </x:c>
      <x:c r="B14" s="18" t="str">
        <x:v>calculator 991es plus online</x:v>
      </x:c>
      <x:c r="C14" s="18" t="str">
        <x:v>null</x:v>
      </x:c>
      <x:c r="D14" s="26" t="n">
        <x:v>0</x:v>
      </x:c>
      <x:c r="E14" s="28" t="n">
        <x:v>0</x:v>
      </x:c>
      <x:c r="F14" s="14" t="n">
        <x:v>1</x:v>
      </x:c>
      <x:c r="G14" s="14" t="n">
        <x:v>4</x:v>
      </x:c>
      <x:c r="H14" s="14" t="str">
        <x:v>No</x:v>
      </x:c>
      <x:c r="I14" s="18" t="str">
        <x:v>App/product/brand/navigation/media intent rather than a calculation</x:v>
      </x:c>
      <x:c r="J14" s="18" t="str">
        <x:v>Excluded / Non-calculator</x:v>
      </x:c>
      <x:c r="K14" s="18" t="str"/>
      <x:c r="L14" s="18" t="n">
        <x:v>0</x:v>
      </x:c>
      <x:c r="M14" s="18" t="str"/>
      <x:c r="N14" s="18" t="str"/>
      <x:c r="O14" s="18" t="str"/>
      <x:c r="P14" s="30" t="n">
        <x:f>MAX(0,100-G14)</x:f>
        <x:v>96</x:v>
      </x:c>
      <x:c r="Q14" s="30" t="n">
        <x:f>MIN(100,ROUND(LOG10(D14+1)*18,0))</x:f>
        <x:v>0</x:v>
      </x:c>
      <x:c r="R14" s="30" t="n">
        <x:f>MIN(100,ROUND(E14*12,0))</x:f>
        <x:v>0</x:v>
      </x:c>
      <x:c r="S14" s="30" t="n">
        <x:f>IF(H14="No",0,ROUND(P14*0.45+Q14*0.30+R14*0.15+IF(M14="Easy",10,IF(M14="Medium",6,2))+IF(N14="High",5,IF(N14="Medium",3,0)),1))</x:f>
        <x:v>0</x:v>
      </x:c>
      <x:c r="T14" s="14" t="str">
        <x:f>IF(H14="No","Exclude",IF(S14&gt;=70,"Priority 1",IF(S14&gt;=55,"Priority 2",IF(S14&gt;=40,"Priority 3","Low priority"))))</x:f>
        <x:v>Exclude</x:v>
      </x:c>
    </x:row>
    <x:row r="15">
      <x:c r="A15" s="14" t="n">
        <x:v>14</x:v>
      </x:c>
      <x:c r="B15" s="18" t="str">
        <x:v>calculator date and time magic trick</x:v>
      </x:c>
      <x:c r="C15" s="18" t="str">
        <x:v>null</x:v>
      </x:c>
      <x:c r="D15" s="26" t="n">
        <x:v>0</x:v>
      </x:c>
      <x:c r="E15" s="28" t="n">
        <x:v>0</x:v>
      </x:c>
      <x:c r="F15" s="14" t="n">
        <x:v>1</x:v>
      </x:c>
      <x:c r="G15" s="14" t="n">
        <x:v>4</x:v>
      </x:c>
      <x:c r="H15" s="14" t="str">
        <x:v>Yes</x:v>
      </x:c>
      <x:c r="I15" s="18" t="str">
        <x:v>Clear calculation, conversion, estimation, or formula intent</x:v>
      </x:c>
      <x:c r="J15" s="18" t="str">
        <x:v>Date &amp; Time</x:v>
      </x:c>
      <x:c r="K15" s="18" t="str">
        <x:v>Date calculator</x:v>
      </x:c>
      <x:c r="L15" s="18" t="n">
        <x:v>9</x:v>
      </x:c>
      <x:c r="M15" s="18" t="str">
        <x:v>Easy</x:v>
      </x:c>
      <x:c r="N15" s="18" t="str">
        <x:v>Medium</x:v>
      </x:c>
      <x:c r="O15" s="18" t="str">
        <x:v>Ads</x:v>
      </x:c>
      <x:c r="P15" s="30" t="n">
        <x:f>MAX(0,100-G15)</x:f>
        <x:v>96</x:v>
      </x:c>
      <x:c r="Q15" s="30" t="n">
        <x:f>MIN(100,ROUND(LOG10(D15+1)*18,0))</x:f>
        <x:v>0</x:v>
      </x:c>
      <x:c r="R15" s="30" t="n">
        <x:f>MIN(100,ROUND(E15*12,0))</x:f>
        <x:v>0</x:v>
      </x:c>
      <x:c r="S15" s="30" t="n">
        <x:f>IF(H15="No",0,ROUND(P15*0.45+Q15*0.30+R15*0.15+IF(M15="Easy",10,IF(M15="Medium",6,2))+IF(N15="High",5,IF(N15="Medium",3,0)),1))</x:f>
        <x:v>56.2</x:v>
      </x:c>
      <x:c r="T15" s="14" t="str">
        <x:f>IF(H15="No","Exclude",IF(S15&gt;=70,"Priority 1",IF(S15&gt;=55,"Priority 2",IF(S15&gt;=40,"Priority 3","Low priority"))))</x:f>
        <x:v>Priority 2</x:v>
      </x:c>
    </x:row>
    <x:row r="16">
      <x:c r="A16" s="14" t="n">
        <x:v>15</x:v>
      </x:c>
      <x:c r="B16" s="18" t="str">
        <x:v>calculator jpy to usd</x:v>
      </x:c>
      <x:c r="C16" s="18" t="str">
        <x:v>null</x:v>
      </x:c>
      <x:c r="D16" s="26" t="n">
        <x:v>0</x:v>
      </x:c>
      <x:c r="E16" s="28" t="n">
        <x:v>0</x:v>
      </x:c>
      <x:c r="F16" s="14" t="n">
        <x:v>1</x:v>
      </x:c>
      <x:c r="G16" s="14" t="n">
        <x:v>4</x:v>
      </x:c>
      <x:c r="H16" s="14" t="str">
        <x:v>Yes</x:v>
      </x:c>
      <x:c r="I16" s="18" t="str">
        <x:v>Clear calculation, conversion, estimation, or formula intent</x:v>
      </x:c>
      <x:c r="J16" s="18" t="str">
        <x:v>Conversions &amp; Units</x:v>
      </x:c>
      <x:c r="K16" s="18" t="str">
        <x:v>JPY to USD converter</x:v>
      </x:c>
      <x:c r="L16" s="18" t="n">
        <x:v>2</x:v>
      </x:c>
      <x:c r="M16" s="18" t="str">
        <x:v>Easy</x:v>
      </x:c>
      <x:c r="N16" s="18" t="str">
        <x:v>High</x:v>
      </x:c>
      <x:c r="O16" s="18" t="str">
        <x:v>Ads</x:v>
      </x:c>
      <x:c r="P16" s="30" t="n">
        <x:f>MAX(0,100-G16)</x:f>
        <x:v>96</x:v>
      </x:c>
      <x:c r="Q16" s="30" t="n">
        <x:f>MIN(100,ROUND(LOG10(D16+1)*18,0))</x:f>
        <x:v>0</x:v>
      </x:c>
      <x:c r="R16" s="30" t="n">
        <x:f>MIN(100,ROUND(E16*12,0))</x:f>
        <x:v>0</x:v>
      </x:c>
      <x:c r="S16" s="30" t="n">
        <x:f>IF(H16="No",0,ROUND(P16*0.45+Q16*0.30+R16*0.15+IF(M16="Easy",10,IF(M16="Medium",6,2))+IF(N16="High",5,IF(N16="Medium",3,0)),1))</x:f>
        <x:v>58.2</x:v>
      </x:c>
      <x:c r="T16" s="14" t="str">
        <x:f>IF(H16="No","Exclude",IF(S16&gt;=70,"Priority 1",IF(S16&gt;=55,"Priority 2",IF(S16&gt;=40,"Priority 3","Low priority"))))</x:f>
        <x:v>Priority 2</x:v>
      </x:c>
    </x:row>
    <x:row r="17">
      <x:c r="A17" s="14" t="n">
        <x:v>16</x:v>
      </x:c>
      <x:c r="B17" s="18" t="str">
        <x:v>calculator japanese yen to usd</x:v>
      </x:c>
      <x:c r="C17" s="18" t="str">
        <x:v>null</x:v>
      </x:c>
      <x:c r="D17" s="26" t="n">
        <x:v>0</x:v>
      </x:c>
      <x:c r="E17" s="28" t="n">
        <x:v>0</x:v>
      </x:c>
      <x:c r="F17" s="14" t="n">
        <x:v>1</x:v>
      </x:c>
      <x:c r="G17" s="14" t="n">
        <x:v>4</x:v>
      </x:c>
      <x:c r="H17" s="14" t="str">
        <x:v>Yes</x:v>
      </x:c>
      <x:c r="I17" s="18" t="str">
        <x:v>Clear calculation, conversion, estimation, or formula intent</x:v>
      </x:c>
      <x:c r="J17" s="18" t="str">
        <x:v>Conversions &amp; Units</x:v>
      </x:c>
      <x:c r="K17" s="18" t="str">
        <x:v>JPY to USD converter</x:v>
      </x:c>
      <x:c r="L17" s="18" t="n">
        <x:v>2</x:v>
      </x:c>
      <x:c r="M17" s="18" t="str">
        <x:v>Easy</x:v>
      </x:c>
      <x:c r="N17" s="18" t="str">
        <x:v>High</x:v>
      </x:c>
      <x:c r="O17" s="18" t="str">
        <x:v>Ads</x:v>
      </x:c>
      <x:c r="P17" s="30" t="n">
        <x:f>MAX(0,100-G17)</x:f>
        <x:v>96</x:v>
      </x:c>
      <x:c r="Q17" s="30" t="n">
        <x:f>MIN(100,ROUND(LOG10(D17+1)*18,0))</x:f>
        <x:v>0</x:v>
      </x:c>
      <x:c r="R17" s="30" t="n">
        <x:f>MIN(100,ROUND(E17*12,0))</x:f>
        <x:v>0</x:v>
      </x:c>
      <x:c r="S17" s="30" t="n">
        <x:f>IF(H17="No",0,ROUND(P17*0.45+Q17*0.30+R17*0.15+IF(M17="Easy",10,IF(M17="Medium",6,2))+IF(N17="High",5,IF(N17="Medium",3,0)),1))</x:f>
        <x:v>58.2</x:v>
      </x:c>
      <x:c r="T17" s="14" t="str">
        <x:f>IF(H17="No","Exclude",IF(S17&gt;=70,"Priority 1",IF(S17&gt;=55,"Priority 2",IF(S17&gt;=40,"Priority 3","Low priority"))))</x:f>
        <x:v>Priority 2</x:v>
      </x:c>
    </x:row>
    <x:row r="18">
      <x:c r="A18" s="14" t="n">
        <x:v>17</x:v>
      </x:c>
      <x:c r="B18" s="18" t="str">
        <x:v>calculator validating os loop</x:v>
      </x:c>
      <x:c r="C18" s="18" t="str">
        <x:v>null</x:v>
      </x:c>
      <x:c r="D18" s="26" t="n">
        <x:v>0</x:v>
      </x:c>
      <x:c r="E18" s="28" t="n">
        <x:v>0</x:v>
      </x:c>
      <x:c r="F18" s="14" t="n">
        <x:v>1</x:v>
      </x:c>
      <x:c r="G18" s="14" t="n">
        <x:v>4</x:v>
      </x:c>
      <x:c r="H18" s="14" t="str">
        <x:v>No</x:v>
      </x:c>
      <x:c r="I18" s="18" t="str">
        <x:v>No measurable volume and no clear calculator-specific intent</x:v>
      </x:c>
      <x:c r="J18" s="18" t="str">
        <x:v>Excluded / Non-calculator</x:v>
      </x:c>
      <x:c r="K18" s="18" t="str"/>
      <x:c r="L18" s="18" t="n">
        <x:v>0</x:v>
      </x:c>
      <x:c r="M18" s="18" t="str"/>
      <x:c r="N18" s="18" t="str"/>
      <x:c r="O18" s="18" t="str"/>
      <x:c r="P18" s="30" t="n">
        <x:f>MAX(0,100-G18)</x:f>
        <x:v>96</x:v>
      </x:c>
      <x:c r="Q18" s="30" t="n">
        <x:f>MIN(100,ROUND(LOG10(D18+1)*18,0))</x:f>
        <x:v>0</x:v>
      </x:c>
      <x:c r="R18" s="30" t="n">
        <x:f>MIN(100,ROUND(E18*12,0))</x:f>
        <x:v>0</x:v>
      </x:c>
      <x:c r="S18" s="30" t="n">
        <x:f>IF(H18="No",0,ROUND(P18*0.45+Q18*0.30+R18*0.15+IF(M18="Easy",10,IF(M18="Medium",6,2))+IF(N18="High",5,IF(N18="Medium",3,0)),1))</x:f>
        <x:v>0</x:v>
      </x:c>
      <x:c r="T18" s="14" t="str">
        <x:f>IF(H18="No","Exclude",IF(S18&gt;=70,"Priority 1",IF(S18&gt;=55,"Priority 2",IF(S18&gt;=40,"Priority 3","Low priority"))))</x:f>
        <x:v>Exclude</x:v>
      </x:c>
    </x:row>
    <x:row r="19">
      <x:c r="A19" s="14" t="n">
        <x:v>18</x:v>
      </x:c>
      <x:c r="B19" s="18" t="str">
        <x:v>calculator 570 vs 991</x:v>
      </x:c>
      <x:c r="C19" s="18" t="str">
        <x:v>null</x:v>
      </x:c>
      <x:c r="D19" s="26" t="n">
        <x:v>0</x:v>
      </x:c>
      <x:c r="E19" s="28" t="n">
        <x:v>0</x:v>
      </x:c>
      <x:c r="F19" s="14" t="n">
        <x:v>1</x:v>
      </x:c>
      <x:c r="G19" s="14" t="n">
        <x:v>4</x:v>
      </x:c>
      <x:c r="H19" s="14" t="str">
        <x:v>No</x:v>
      </x:c>
      <x:c r="I19" s="18" t="str">
        <x:v>App/product/brand/navigation/media intent rather than a calculation</x:v>
      </x:c>
      <x:c r="J19" s="18" t="str">
        <x:v>Excluded / Non-calculator</x:v>
      </x:c>
      <x:c r="K19" s="18" t="str"/>
      <x:c r="L19" s="18" t="n">
        <x:v>0</x:v>
      </x:c>
      <x:c r="M19" s="18" t="str"/>
      <x:c r="N19" s="18" t="str"/>
      <x:c r="O19" s="18" t="str"/>
      <x:c r="P19" s="30" t="n">
        <x:f>MAX(0,100-G19)</x:f>
        <x:v>96</x:v>
      </x:c>
      <x:c r="Q19" s="30" t="n">
        <x:f>MIN(100,ROUND(LOG10(D19+1)*18,0))</x:f>
        <x:v>0</x:v>
      </x:c>
      <x:c r="R19" s="30" t="n">
        <x:f>MIN(100,ROUND(E19*12,0))</x:f>
        <x:v>0</x:v>
      </x:c>
      <x:c r="S19" s="30" t="n">
        <x:f>IF(H19="No",0,ROUND(P19*0.45+Q19*0.30+R19*0.15+IF(M19="Easy",10,IF(M19="Medium",6,2))+IF(N19="High",5,IF(N19="Medium",3,0)),1))</x:f>
        <x:v>0</x:v>
      </x:c>
      <x:c r="T19" s="14" t="str">
        <x:f>IF(H19="No","Exclude",IF(S19&gt;=70,"Priority 1",IF(S19&gt;=55,"Priority 2",IF(S19&gt;=40,"Priority 3","Low priority"))))</x:f>
        <x:v>Exclude</x:v>
      </x:c>
    </x:row>
    <x:row r="20">
      <x:c r="A20" s="14" t="n">
        <x:v>19</x:v>
      </x:c>
      <x:c r="B20" s="18" t="str">
        <x:v>calculator on iphone 16</x:v>
      </x:c>
      <x:c r="C20" s="18" t="str">
        <x:v>null</x:v>
      </x:c>
      <x:c r="D20" s="26" t="n">
        <x:v>0</x:v>
      </x:c>
      <x:c r="E20" s="28" t="n">
        <x:v>0</x:v>
      </x:c>
      <x:c r="F20" s="14" t="n">
        <x:v>1</x:v>
      </x:c>
      <x:c r="G20" s="14" t="n">
        <x:v>4</x:v>
      </x:c>
      <x:c r="H20" s="14" t="str">
        <x:v>No</x:v>
      </x:c>
      <x:c r="I20" s="18" t="str">
        <x:v>App/product/brand/navigation/media intent rather than a calculation</x:v>
      </x:c>
      <x:c r="J20" s="18" t="str">
        <x:v>Excluded / Non-calculator</x:v>
      </x:c>
      <x:c r="K20" s="18" t="str"/>
      <x:c r="L20" s="18" t="n">
        <x:v>0</x:v>
      </x:c>
      <x:c r="M20" s="18" t="str"/>
      <x:c r="N20" s="18" t="str"/>
      <x:c r="O20" s="18" t="str"/>
      <x:c r="P20" s="30" t="n">
        <x:f>MAX(0,100-G20)</x:f>
        <x:v>96</x:v>
      </x:c>
      <x:c r="Q20" s="30" t="n">
        <x:f>MIN(100,ROUND(LOG10(D20+1)*18,0))</x:f>
        <x:v>0</x:v>
      </x:c>
      <x:c r="R20" s="30" t="n">
        <x:f>MIN(100,ROUND(E20*12,0))</x:f>
        <x:v>0</x:v>
      </x:c>
      <x:c r="S20" s="30" t="n">
        <x:f>IF(H20="No",0,ROUND(P20*0.45+Q20*0.30+R20*0.15+IF(M20="Easy",10,IF(M20="Medium",6,2))+IF(N20="High",5,IF(N20="Medium",3,0)),1))</x:f>
        <x:v>0</x:v>
      </x:c>
      <x:c r="T20" s="14" t="str">
        <x:f>IF(H20="No","Exclude",IF(S20&gt;=70,"Priority 1",IF(S20&gt;=55,"Priority 2",IF(S20&gt;=40,"Priority 3","Low priority"))))</x:f>
        <x:v>Exclude</x:v>
      </x:c>
    </x:row>
    <x:row r="21">
      <x:c r="A21" s="14" t="n">
        <x:v>20</x:v>
      </x:c>
      <x:c r="B21" s="18" t="str">
        <x:v>calculator 7th pay commission</x:v>
      </x:c>
      <x:c r="C21" s="18" t="str">
        <x:v>navigational, commercial</x:v>
      </x:c>
      <x:c r="D21" s="26" t="n">
        <x:v>20</x:v>
      </x:c>
      <x:c r="E21" s="28" t="n">
        <x:v>0</x:v>
      </x:c>
      <x:c r="F21" s="14" t="n">
        <x:v>1</x:v>
      </x:c>
      <x:c r="G21" s="14" t="n">
        <x:v>5</x:v>
      </x:c>
      <x:c r="H21" s="14" t="str">
        <x:v>Yes</x:v>
      </x:c>
      <x:c r="I21" s="18" t="str">
        <x:v>Clear calculation, conversion, estimation, or formula intent</x:v>
      </x:c>
      <x:c r="J21" s="18" t="str">
        <x:v>Salary, Payroll &amp; Tax</x:v>
      </x:c>
      <x:c r="K21" s="18" t="str">
        <x:v>7Th Pay Commission calculator</x:v>
      </x:c>
      <x:c r="L21" s="18" t="n">
        <x:v>1</x:v>
      </x:c>
      <x:c r="M21" s="18" t="str">
        <x:v>Easy</x:v>
      </x:c>
      <x:c r="N21" s="18" t="str">
        <x:v>Low</x:v>
      </x:c>
      <x:c r="O21" s="18" t="str">
        <x:v>Ads / SaaS leads</x:v>
      </x:c>
      <x:c r="P21" s="30" t="n">
        <x:f>MAX(0,100-G21)</x:f>
        <x:v>95</x:v>
      </x:c>
      <x:c r="Q21" s="30" t="n">
        <x:f>MIN(100,ROUND(LOG10(D21+1)*18,0))</x:f>
        <x:v>24</x:v>
      </x:c>
      <x:c r="R21" s="30" t="n">
        <x:f>MIN(100,ROUND(E21*12,0))</x:f>
        <x:v>0</x:v>
      </x:c>
      <x:c r="S21" s="30" t="n">
        <x:f>IF(H21="No",0,ROUND(P21*0.45+Q21*0.30+R21*0.15+IF(M21="Easy",10,IF(M21="Medium",6,2))+IF(N21="High",5,IF(N21="Medium",3,0)),1))</x:f>
        <x:v>60</x:v>
      </x:c>
      <x:c r="T21" s="14" t="str">
        <x:f>IF(H21="No","Exclude",IF(S21&gt;=70,"Priority 1",IF(S21&gt;=55,"Priority 2",IF(S21&gt;=40,"Priority 3","Low priority"))))</x:f>
        <x:v>Priority 2</x:v>
      </x:c>
    </x:row>
    <x:row r="22">
      <x:c r="A22" s="14" t="n">
        <x:v>21</x:v>
      </x:c>
      <x:c r="B22" s="18" t="str">
        <x:v>calculator method in dating</x:v>
      </x:c>
      <x:c r="C22" s="18" t="str">
        <x:v>null</x:v>
      </x:c>
      <x:c r="D22" s="26" t="n">
        <x:v>10</x:v>
      </x:c>
      <x:c r="E22" s="28" t="n">
        <x:v>0</x:v>
      </x:c>
      <x:c r="F22" s="14" t="n">
        <x:v>1</x:v>
      </x:c>
      <x:c r="G22" s="14" t="n">
        <x:v>5</x:v>
      </x:c>
      <x:c r="H22" s="14" t="str">
        <x:v>No</x:v>
      </x:c>
      <x:c r="I22" s="18" t="str">
        <x:v>App/product/brand/navigation/media intent rather than a calculation</x:v>
      </x:c>
      <x:c r="J22" s="18" t="str">
        <x:v>Excluded / Non-calculator</x:v>
      </x:c>
      <x:c r="K22" s="18" t="str"/>
      <x:c r="L22" s="18" t="n">
        <x:v>0</x:v>
      </x:c>
      <x:c r="M22" s="18" t="str"/>
      <x:c r="N22" s="18" t="str"/>
      <x:c r="O22" s="18" t="str"/>
      <x:c r="P22" s="30" t="n">
        <x:f>MAX(0,100-G22)</x:f>
        <x:v>95</x:v>
      </x:c>
      <x:c r="Q22" s="30" t="n">
        <x:f>MIN(100,ROUND(LOG10(D22+1)*18,0))</x:f>
        <x:v>19</x:v>
      </x:c>
      <x:c r="R22" s="30" t="n">
        <x:f>MIN(100,ROUND(E22*12,0))</x:f>
        <x:v>0</x:v>
      </x:c>
      <x:c r="S22" s="30" t="n">
        <x:f>IF(H22="No",0,ROUND(P22*0.45+Q22*0.30+R22*0.15+IF(M22="Easy",10,IF(M22="Medium",6,2))+IF(N22="High",5,IF(N22="Medium",3,0)),1))</x:f>
        <x:v>0</x:v>
      </x:c>
      <x:c r="T22" s="14" t="str">
        <x:f>IF(H22="No","Exclude",IF(S22&gt;=70,"Priority 1",IF(S22&gt;=55,"Priority 2",IF(S22&gt;=40,"Priority 3","Low priority"))))</x:f>
        <x:v>Exclude</x:v>
      </x:c>
    </x:row>
    <x:row r="23">
      <x:c r="A23" s="14" t="n">
        <x:v>22</x:v>
      </x:c>
      <x:c r="B23" s="18" t="str">
        <x:v>calculator net investment calculator</x:v>
      </x:c>
      <x:c r="C23" s="18" t="str">
        <x:v>null</x:v>
      </x:c>
      <x:c r="D23" s="26" t="n">
        <x:v>260</x:v>
      </x:c>
      <x:c r="E23" s="28" t="n">
        <x:v>1.97</x:v>
      </x:c>
      <x:c r="F23" s="14" t="n">
        <x:v>2</x:v>
      </x:c>
      <x:c r="G23" s="14" t="n">
        <x:v>6</x:v>
      </x:c>
      <x:c r="H23" s="14" t="str">
        <x:v>Yes</x:v>
      </x:c>
      <x:c r="I23" s="18" t="str">
        <x:v>Clear calculation, conversion, estimation, or formula intent</x:v>
      </x:c>
      <x:c r="J23" s="18" t="str">
        <x:v>Personal Finance &amp; Investing</x:v>
      </x:c>
      <x:c r="K23" s="18" t="str">
        <x:v>Net Investment calculator</x:v>
      </x:c>
      <x:c r="L23" s="18" t="n">
        <x:v>1</x:v>
      </x:c>
      <x:c r="M23" s="18" t="str">
        <x:v>Complex</x:v>
      </x:c>
      <x:c r="N23" s="18" t="str">
        <x:v>High</x:v>
      </x:c>
      <x:c r="O23" s="18" t="str">
        <x:v>Ads / Leads / Affiliate</x:v>
      </x:c>
      <x:c r="P23" s="30" t="n">
        <x:f>MAX(0,100-G23)</x:f>
        <x:v>94</x:v>
      </x:c>
      <x:c r="Q23" s="30" t="n">
        <x:f>MIN(100,ROUND(LOG10(D23+1)*18,0))</x:f>
        <x:v>43</x:v>
      </x:c>
      <x:c r="R23" s="30" t="n">
        <x:f>MIN(100,ROUND(E23*12,0))</x:f>
        <x:v>24</x:v>
      </x:c>
      <x:c r="S23" s="30" t="n">
        <x:f>IF(H23="No",0,ROUND(P23*0.45+Q23*0.30+R23*0.15+IF(M23="Easy",10,IF(M23="Medium",6,2))+IF(N23="High",5,IF(N23="Medium",3,0)),1))</x:f>
        <x:v>65.8</x:v>
      </x:c>
      <x:c r="T23" s="14" t="str">
        <x:f>IF(H23="No","Exclude",IF(S23&gt;=70,"Priority 1",IF(S23&gt;=55,"Priority 2",IF(S23&gt;=40,"Priority 3","Low priority"))))</x:f>
        <x:v>Priority 2</x:v>
      </x:c>
    </x:row>
    <x:row r="24">
      <x:c r="A24" s="14" t="n">
        <x:v>23</x:v>
      </x:c>
      <x:c r="B24" s="18" t="str">
        <x:v>calculator usd to php</x:v>
      </x:c>
      <x:c r="C24" s="18" t="str">
        <x:v>null</x:v>
      </x:c>
      <x:c r="D24" s="26" t="n">
        <x:v>10</x:v>
      </x:c>
      <x:c r="E24" s="28" t="n">
        <x:v>0</x:v>
      </x:c>
      <x:c r="F24" s="14" t="n">
        <x:v>2</x:v>
      </x:c>
      <x:c r="G24" s="14" t="n">
        <x:v>6</x:v>
      </x:c>
      <x:c r="H24" s="14" t="str">
        <x:v>Maybe</x:v>
      </x:c>
      <x:c r="I24" s="18" t="str">
        <x:v>Potential calculator intent, but keyword meaning is broad or ambiguous</x:v>
      </x:c>
      <x:c r="J24" s="18" t="str">
        <x:v>Conversions &amp; Units</x:v>
      </x:c>
      <x:c r="K24" s="18" t="str">
        <x:v>Usd To Php calculator</x:v>
      </x:c>
      <x:c r="L24" s="18" t="n">
        <x:v>1</x:v>
      </x:c>
      <x:c r="M24" s="18" t="str">
        <x:v>Easy</x:v>
      </x:c>
      <x:c r="N24" s="18" t="str">
        <x:v>High</x:v>
      </x:c>
      <x:c r="O24" s="18" t="str">
        <x:v>Ads</x:v>
      </x:c>
      <x:c r="P24" s="30" t="n">
        <x:f>MAX(0,100-G24)</x:f>
        <x:v>94</x:v>
      </x:c>
      <x:c r="Q24" s="30" t="n">
        <x:f>MIN(100,ROUND(LOG10(D24+1)*18,0))</x:f>
        <x:v>19</x:v>
      </x:c>
      <x:c r="R24" s="30" t="n">
        <x:f>MIN(100,ROUND(E24*12,0))</x:f>
        <x:v>0</x:v>
      </x:c>
      <x:c r="S24" s="30" t="n">
        <x:f>IF(H24="No",0,ROUND(P24*0.45+Q24*0.30+R24*0.15+IF(M24="Easy",10,IF(M24="Medium",6,2))+IF(N24="High",5,IF(N24="Medium",3,0)),1))</x:f>
        <x:v>63</x:v>
      </x:c>
      <x:c r="T24" s="14" t="str">
        <x:f>IF(H24="No","Exclude",IF(S24&gt;=70,"Priority 1",IF(S24&gt;=55,"Priority 2",IF(S24&gt;=40,"Priority 3","Low priority"))))</x:f>
        <x:v>Priority 2</x:v>
      </x:c>
    </x:row>
    <x:row r="25">
      <x:c r="A25" s="14" t="n">
        <x:v>24</x:v>
      </x:c>
      <x:c r="B25" s="18" t="str">
        <x:v>calculator yards of concrete</x:v>
      </x:c>
      <x:c r="C25" s="18" t="str">
        <x:v>informational, navigational</x:v>
      </x:c>
      <x:c r="D25" s="26" t="n">
        <x:v>18100</x:v>
      </x:c>
      <x:c r="E25" s="28" t="n">
        <x:v>0.06</x:v>
      </x:c>
      <x:c r="F25" s="14" t="n">
        <x:v>6</x:v>
      </x:c>
      <x:c r="G25" s="14" t="n">
        <x:v>12</x:v>
      </x:c>
      <x:c r="H25" s="14" t="str">
        <x:v>Yes</x:v>
      </x:c>
      <x:c r="I25" s="18" t="str">
        <x:v>Clear calculation, conversion, estimation, or formula intent</x:v>
      </x:c>
      <x:c r="J25" s="18" t="str">
        <x:v>Construction &amp; Home Improvement</x:v>
      </x:c>
      <x:c r="K25" s="18" t="str">
        <x:v>Yards Of Concrete calculator</x:v>
      </x:c>
      <x:c r="L25" s="18" t="n">
        <x:v>1</x:v>
      </x:c>
      <x:c r="M25" s="18" t="str">
        <x:v>Medium</x:v>
      </x:c>
      <x:c r="N25" s="18" t="str">
        <x:v>Medium</x:v>
      </x:c>
      <x:c r="O25" s="18" t="str">
        <x:v>Ads / Local leads / Affiliate</x:v>
      </x:c>
      <x:c r="P25" s="30" t="n">
        <x:f>MAX(0,100-G25)</x:f>
        <x:v>88</x:v>
      </x:c>
      <x:c r="Q25" s="30" t="n">
        <x:f>MIN(100,ROUND(LOG10(D25+1)*18,0))</x:f>
        <x:v>77</x:v>
      </x:c>
      <x:c r="R25" s="30" t="n">
        <x:f>MIN(100,ROUND(E25*12,0))</x:f>
        <x:v>1</x:v>
      </x:c>
      <x:c r="S25" s="30" t="n">
        <x:f>IF(H25="No",0,ROUND(P25*0.45+Q25*0.30+R25*0.15+IF(M25="Easy",10,IF(M25="Medium",6,2))+IF(N25="High",5,IF(N25="Medium",3,0)),1))</x:f>
        <x:v>71.9</x:v>
      </x:c>
      <x:c r="T25" s="14" t="str">
        <x:f>IF(H25="No","Exclude",IF(S25&gt;=70,"Priority 1",IF(S25&gt;=55,"Priority 2",IF(S25&gt;=40,"Priority 3","Low priority"))))</x:f>
        <x:v>Priority 1</x:v>
      </x:c>
    </x:row>
    <x:row r="26">
      <x:c r="A26" s="14" t="n">
        <x:v>25</x:v>
      </x:c>
      <x:c r="B26" s="18" t="str">
        <x:v>calculator 0000 game</x:v>
      </x:c>
      <x:c r="C26" s="18" t="str">
        <x:v>null</x:v>
      </x:c>
      <x:c r="D26" s="26" t="n">
        <x:v>0</x:v>
      </x:c>
      <x:c r="E26" s="28" t="n">
        <x:v>0</x:v>
      </x:c>
      <x:c r="F26" s="14" t="n">
        <x:v>1</x:v>
      </x:c>
      <x:c r="G26" s="14" t="n">
        <x:v>12</x:v>
      </x:c>
      <x:c r="H26" s="14" t="str">
        <x:v>No</x:v>
      </x:c>
      <x:c r="I26" s="18" t="str">
        <x:v>App/product/brand/navigation/media intent rather than a calculation</x:v>
      </x:c>
      <x:c r="J26" s="18" t="str">
        <x:v>Excluded / Non-calculator</x:v>
      </x:c>
      <x:c r="K26" s="18" t="str"/>
      <x:c r="L26" s="18" t="n">
        <x:v>0</x:v>
      </x:c>
      <x:c r="M26" s="18" t="str"/>
      <x:c r="N26" s="18" t="str"/>
      <x:c r="O26" s="18" t="str"/>
      <x:c r="P26" s="30" t="n">
        <x:f>MAX(0,100-G26)</x:f>
        <x:v>88</x:v>
      </x:c>
      <x:c r="Q26" s="30" t="n">
        <x:f>MIN(100,ROUND(LOG10(D26+1)*18,0))</x:f>
        <x:v>0</x:v>
      </x:c>
      <x:c r="R26" s="30" t="n">
        <x:f>MIN(100,ROUND(E26*12,0))</x:f>
        <x:v>0</x:v>
      </x:c>
      <x:c r="S26" s="30" t="n">
        <x:f>IF(H26="No",0,ROUND(P26*0.45+Q26*0.30+R26*0.15+IF(M26="Easy",10,IF(M26="Medium",6,2))+IF(N26="High",5,IF(N26="Medium",3,0)),1))</x:f>
        <x:v>0</x:v>
      </x:c>
      <x:c r="T26" s="14" t="str">
        <x:f>IF(H26="No","Exclude",IF(S26&gt;=70,"Priority 1",IF(S26&gt;=55,"Priority 2",IF(S26&gt;=40,"Priority 3","Low priority"))))</x:f>
        <x:v>Exclude</x:v>
      </x:c>
    </x:row>
    <x:row r="27">
      <x:c r="A27" s="14" t="n">
        <x:v>26</x:v>
      </x:c>
      <x:c r="B27" s="18" t="str">
        <x:v>calculator 0000 code</x:v>
      </x:c>
      <x:c r="C27" s="18" t="str">
        <x:v>null</x:v>
      </x:c>
      <x:c r="D27" s="26" t="n">
        <x:v>0</x:v>
      </x:c>
      <x:c r="E27" s="28" t="n">
        <x:v>0</x:v>
      </x:c>
      <x:c r="F27" s="14" t="n">
        <x:v>1</x:v>
      </x:c>
      <x:c r="G27" s="14" t="n">
        <x:v>12</x:v>
      </x:c>
      <x:c r="H27" s="14" t="str">
        <x:v>No</x:v>
      </x:c>
      <x:c r="I27" s="18" t="str">
        <x:v>No measurable volume and no clear calculator-specific intent</x:v>
      </x:c>
      <x:c r="J27" s="18" t="str">
        <x:v>Excluded / Non-calculator</x:v>
      </x:c>
      <x:c r="K27" s="18" t="str"/>
      <x:c r="L27" s="18" t="n">
        <x:v>0</x:v>
      </x:c>
      <x:c r="M27" s="18" t="str"/>
      <x:c r="N27" s="18" t="str"/>
      <x:c r="O27" s="18" t="str"/>
      <x:c r="P27" s="30" t="n">
        <x:f>MAX(0,100-G27)</x:f>
        <x:v>88</x:v>
      </x:c>
      <x:c r="Q27" s="30" t="n">
        <x:f>MIN(100,ROUND(LOG10(D27+1)*18,0))</x:f>
        <x:v>0</x:v>
      </x:c>
      <x:c r="R27" s="30" t="n">
        <x:f>MIN(100,ROUND(E27*12,0))</x:f>
        <x:v>0</x:v>
      </x:c>
      <x:c r="S27" s="30" t="n">
        <x:f>IF(H27="No",0,ROUND(P27*0.45+Q27*0.30+R27*0.15+IF(M27="Easy",10,IF(M27="Medium",6,2))+IF(N27="High",5,IF(N27="Medium",3,0)),1))</x:f>
        <x:v>0</x:v>
      </x:c>
      <x:c r="T27" s="14" t="str">
        <x:f>IF(H27="No","Exclude",IF(S27&gt;=70,"Priority 1",IF(S27&gt;=55,"Priority 2",IF(S27&gt;=40,"Priority 3","Low priority"))))</x:f>
        <x:v>Exclude</x:v>
      </x:c>
    </x:row>
    <x:row r="28">
      <x:c r="A28" s="14" t="n">
        <x:v>27</x:v>
      </x:c>
      <x:c r="B28" s="18" t="str">
        <x:v>calculator 00 wala</x:v>
      </x:c>
      <x:c r="C28" s="18" t="str">
        <x:v>null</x:v>
      </x:c>
      <x:c r="D28" s="26" t="n">
        <x:v>0</x:v>
      </x:c>
      <x:c r="E28" s="28" t="n">
        <x:v>0</x:v>
      </x:c>
      <x:c r="F28" s="14" t="n">
        <x:v>1</x:v>
      </x:c>
      <x:c r="G28" s="14" t="n">
        <x:v>12</x:v>
      </x:c>
      <x:c r="H28" s="14" t="str">
        <x:v>No</x:v>
      </x:c>
      <x:c r="I28" s="18" t="str">
        <x:v>No measurable volume and no clear calculator-specific intent</x:v>
      </x:c>
      <x:c r="J28" s="18" t="str">
        <x:v>Excluded / Non-calculator</x:v>
      </x:c>
      <x:c r="K28" s="18" t="str"/>
      <x:c r="L28" s="18" t="n">
        <x:v>0</x:v>
      </x:c>
      <x:c r="M28" s="18" t="str"/>
      <x:c r="N28" s="18" t="str"/>
      <x:c r="O28" s="18" t="str"/>
      <x:c r="P28" s="30" t="n">
        <x:f>MAX(0,100-G28)</x:f>
        <x:v>88</x:v>
      </x:c>
      <x:c r="Q28" s="30" t="n">
        <x:f>MIN(100,ROUND(LOG10(D28+1)*18,0))</x:f>
        <x:v>0</x:v>
      </x:c>
      <x:c r="R28" s="30" t="n">
        <x:f>MIN(100,ROUND(E28*12,0))</x:f>
        <x:v>0</x:v>
      </x:c>
      <x:c r="S28" s="30" t="n">
        <x:f>IF(H28="No",0,ROUND(P28*0.45+Q28*0.30+R28*0.15+IF(M28="Easy",10,IF(M28="Medium",6,2))+IF(N28="High",5,IF(N28="Medium",3,0)),1))</x:f>
        <x:v>0</x:v>
      </x:c>
      <x:c r="T28" s="14" t="str">
        <x:f>IF(H28="No","Exclude",IF(S28&gt;=70,"Priority 1",IF(S28&gt;=55,"Priority 2",IF(S28&gt;=40,"Priority 3","Low priority"))))</x:f>
        <x:v>Exclude</x:v>
      </x:c>
    </x:row>
    <x:row r="29">
      <x:c r="A29" s="14" t="n">
        <x:v>28</x:v>
      </x:c>
      <x:c r="B29" s="18" t="str">
        <x:v>calculator 0 100</x:v>
      </x:c>
      <x:c r="C29" s="18" t="str">
        <x:v>null</x:v>
      </x:c>
      <x:c r="D29" s="26" t="n">
        <x:v>0</x:v>
      </x:c>
      <x:c r="E29" s="28" t="n">
        <x:v>0</x:v>
      </x:c>
      <x:c r="F29" s="14" t="n">
        <x:v>1</x:v>
      </x:c>
      <x:c r="G29" s="14" t="n">
        <x:v>12</x:v>
      </x:c>
      <x:c r="H29" s="14" t="str">
        <x:v>No</x:v>
      </x:c>
      <x:c r="I29" s="18" t="str">
        <x:v>Model/number query, not a distinct web calculator</x:v>
      </x:c>
      <x:c r="J29" s="18" t="str">
        <x:v>Excluded / Non-calculator</x:v>
      </x:c>
      <x:c r="K29" s="18" t="str"/>
      <x:c r="L29" s="18" t="n">
        <x:v>0</x:v>
      </x:c>
      <x:c r="M29" s="18" t="str"/>
      <x:c r="N29" s="18" t="str"/>
      <x:c r="O29" s="18" t="str"/>
      <x:c r="P29" s="30" t="n">
        <x:f>MAX(0,100-G29)</x:f>
        <x:v>88</x:v>
      </x:c>
      <x:c r="Q29" s="30" t="n">
        <x:f>MIN(100,ROUND(LOG10(D29+1)*18,0))</x:f>
        <x:v>0</x:v>
      </x:c>
      <x:c r="R29" s="30" t="n">
        <x:f>MIN(100,ROUND(E29*12,0))</x:f>
        <x:v>0</x:v>
      </x:c>
      <x:c r="S29" s="30" t="n">
        <x:f>IF(H29="No",0,ROUND(P29*0.45+Q29*0.30+R29*0.15+IF(M29="Easy",10,IF(M29="Medium",6,2))+IF(N29="High",5,IF(N29="Medium",3,0)),1))</x:f>
        <x:v>0</x:v>
      </x:c>
      <x:c r="T29" s="14" t="str">
        <x:f>IF(H29="No","Exclude",IF(S29&gt;=70,"Priority 1",IF(S29&gt;=55,"Priority 2",IF(S29&gt;=40,"Priority 3","Low priority"))))</x:f>
        <x:v>Exclude</x:v>
      </x:c>
    </x:row>
    <x:row r="30">
      <x:c r="A30" s="14" t="n">
        <x:v>29</x:v>
      </x:c>
      <x:c r="B30" s="18" t="str">
        <x:v>calculator 0 60</x:v>
      </x:c>
      <x:c r="C30" s="18" t="str">
        <x:v>null</x:v>
      </x:c>
      <x:c r="D30" s="26" t="n">
        <x:v>0</x:v>
      </x:c>
      <x:c r="E30" s="28" t="n">
        <x:v>0</x:v>
      </x:c>
      <x:c r="F30" s="14" t="n">
        <x:v>1</x:v>
      </x:c>
      <x:c r="G30" s="14" t="n">
        <x:v>12</x:v>
      </x:c>
      <x:c r="H30" s="14" t="str">
        <x:v>No</x:v>
      </x:c>
      <x:c r="I30" s="18" t="str">
        <x:v>Model/number query, not a distinct web calculator</x:v>
      </x:c>
      <x:c r="J30" s="18" t="str">
        <x:v>Excluded / Non-calculator</x:v>
      </x:c>
      <x:c r="K30" s="18" t="str"/>
      <x:c r="L30" s="18" t="n">
        <x:v>0</x:v>
      </x:c>
      <x:c r="M30" s="18" t="str"/>
      <x:c r="N30" s="18" t="str"/>
      <x:c r="O30" s="18" t="str"/>
      <x:c r="P30" s="30" t="n">
        <x:f>MAX(0,100-G30)</x:f>
        <x:v>88</x:v>
      </x:c>
      <x:c r="Q30" s="30" t="n">
        <x:f>MIN(100,ROUND(LOG10(D30+1)*18,0))</x:f>
        <x:v>0</x:v>
      </x:c>
      <x:c r="R30" s="30" t="n">
        <x:f>MIN(100,ROUND(E30*12,0))</x:f>
        <x:v>0</x:v>
      </x:c>
      <x:c r="S30" s="30" t="n">
        <x:f>IF(H30="No",0,ROUND(P30*0.45+Q30*0.30+R30*0.15+IF(M30="Easy",10,IF(M30="Medium",6,2))+IF(N30="High",5,IF(N30="Medium",3,0)),1))</x:f>
        <x:v>0</x:v>
      </x:c>
      <x:c r="T30" s="14" t="str">
        <x:f>IF(H30="No","Exclude",IF(S30&gt;=70,"Priority 1",IF(S30&gt;=55,"Priority 2",IF(S30&gt;=40,"Priority 3","Low priority"))))</x:f>
        <x:v>Exclude</x:v>
      </x:c>
    </x:row>
    <x:row r="31">
      <x:c r="A31" s="14" t="n">
        <x:v>30</x:v>
      </x:c>
      <x:c r="B31" s="18" t="str">
        <x:v>calculator 10th grade</x:v>
      </x:c>
      <x:c r="C31" s="18" t="str">
        <x:v>null</x:v>
      </x:c>
      <x:c r="D31" s="26" t="n">
        <x:v>0</x:v>
      </x:c>
      <x:c r="E31" s="28" t="n">
        <x:v>0</x:v>
      </x:c>
      <x:c r="F31" s="14" t="n">
        <x:v>1</x:v>
      </x:c>
      <x:c r="G31" s="14" t="n">
        <x:v>12</x:v>
      </x:c>
      <x:c r="H31" s="14" t="str">
        <x:v>No</x:v>
      </x:c>
      <x:c r="I31" s="18" t="str">
        <x:v>No measurable volume and no clear calculator-specific intent</x:v>
      </x:c>
      <x:c r="J31" s="18" t="str">
        <x:v>Excluded / Non-calculator</x:v>
      </x:c>
      <x:c r="K31" s="18" t="str"/>
      <x:c r="L31" s="18" t="n">
        <x:v>0</x:v>
      </x:c>
      <x:c r="M31" s="18" t="str"/>
      <x:c r="N31" s="18" t="str"/>
      <x:c r="O31" s="18" t="str"/>
      <x:c r="P31" s="30" t="n">
        <x:f>MAX(0,100-G31)</x:f>
        <x:v>88</x:v>
      </x:c>
      <x:c r="Q31" s="30" t="n">
        <x:f>MIN(100,ROUND(LOG10(D31+1)*18,0))</x:f>
        <x:v>0</x:v>
      </x:c>
      <x:c r="R31" s="30" t="n">
        <x:f>MIN(100,ROUND(E31*12,0))</x:f>
        <x:v>0</x:v>
      </x:c>
      <x:c r="S31" s="30" t="n">
        <x:f>IF(H31="No",0,ROUND(P31*0.45+Q31*0.30+R31*0.15+IF(M31="Easy",10,IF(M31="Medium",6,2))+IF(N31="High",5,IF(N31="Medium",3,0)),1))</x:f>
        <x:v>0</x:v>
      </x:c>
      <x:c r="T31" s="14" t="str">
        <x:f>IF(H31="No","Exclude",IF(S31&gt;=70,"Priority 1",IF(S31&gt;=55,"Priority 2",IF(S31&gt;=40,"Priority 3","Low priority"))))</x:f>
        <x:v>Exclude</x:v>
      </x:c>
    </x:row>
    <x:row r="32">
      <x:c r="A32" s="14" t="n">
        <x:v>31</x:v>
      </x:c>
      <x:c r="B32" s="18" t="str">
        <x:v>calculator 3d print</x:v>
      </x:c>
      <x:c r="C32" s="18" t="str">
        <x:v>null</x:v>
      </x:c>
      <x:c r="D32" s="26" t="n">
        <x:v>0</x:v>
      </x:c>
      <x:c r="E32" s="28" t="n">
        <x:v>0</x:v>
      </x:c>
      <x:c r="F32" s="14" t="n">
        <x:v>1</x:v>
      </x:c>
      <x:c r="G32" s="14" t="n">
        <x:v>12</x:v>
      </x:c>
      <x:c r="H32" s="14" t="str">
        <x:v>No</x:v>
      </x:c>
      <x:c r="I32" s="18" t="str">
        <x:v>No measurable volume and no clear calculator-specific intent</x:v>
      </x:c>
      <x:c r="J32" s="18" t="str">
        <x:v>Excluded / Non-calculator</x:v>
      </x:c>
      <x:c r="K32" s="18" t="str"/>
      <x:c r="L32" s="18" t="n">
        <x:v>0</x:v>
      </x:c>
      <x:c r="M32" s="18" t="str"/>
      <x:c r="N32" s="18" t="str"/>
      <x:c r="O32" s="18" t="str"/>
      <x:c r="P32" s="30" t="n">
        <x:f>MAX(0,100-G32)</x:f>
        <x:v>88</x:v>
      </x:c>
      <x:c r="Q32" s="30" t="n">
        <x:f>MIN(100,ROUND(LOG10(D32+1)*18,0))</x:f>
        <x:v>0</x:v>
      </x:c>
      <x:c r="R32" s="30" t="n">
        <x:f>MIN(100,ROUND(E32*12,0))</x:f>
        <x:v>0</x:v>
      </x:c>
      <x:c r="S32" s="30" t="n">
        <x:f>IF(H32="No",0,ROUND(P32*0.45+Q32*0.30+R32*0.15+IF(M32="Easy",10,IF(M32="Medium",6,2))+IF(N32="High",5,IF(N32="Medium",3,0)),1))</x:f>
        <x:v>0</x:v>
      </x:c>
      <x:c r="T32" s="14" t="str">
        <x:f>IF(H32="No","Exclude",IF(S32&gt;=70,"Priority 1",IF(S32&gt;=55,"Priority 2",IF(S32&gt;=40,"Priority 3","Low priority"))))</x:f>
        <x:v>Exclude</x:v>
      </x:c>
    </x:row>
    <x:row r="33">
      <x:c r="A33" s="14" t="n">
        <x:v>32</x:v>
      </x:c>
      <x:c r="B33" s="18" t="str">
        <x:v>calculator 40 off</x:v>
      </x:c>
      <x:c r="C33" s="18" t="str">
        <x:v>null</x:v>
      </x:c>
      <x:c r="D33" s="26" t="n">
        <x:v>0</x:v>
      </x:c>
      <x:c r="E33" s="28" t="n">
        <x:v>0</x:v>
      </x:c>
      <x:c r="F33" s="14" t="n">
        <x:v>1</x:v>
      </x:c>
      <x:c r="G33" s="14" t="n">
        <x:v>12</x:v>
      </x:c>
      <x:c r="H33" s="14" t="str">
        <x:v>No</x:v>
      </x:c>
      <x:c r="I33" s="18" t="str">
        <x:v>No measurable volume and no clear calculator-specific intent</x:v>
      </x:c>
      <x:c r="J33" s="18" t="str">
        <x:v>Excluded / Non-calculator</x:v>
      </x:c>
      <x:c r="K33" s="18" t="str"/>
      <x:c r="L33" s="18" t="n">
        <x:v>0</x:v>
      </x:c>
      <x:c r="M33" s="18" t="str"/>
      <x:c r="N33" s="18" t="str"/>
      <x:c r="O33" s="18" t="str"/>
      <x:c r="P33" s="30" t="n">
        <x:f>MAX(0,100-G33)</x:f>
        <x:v>88</x:v>
      </x:c>
      <x:c r="Q33" s="30" t="n">
        <x:f>MIN(100,ROUND(LOG10(D33+1)*18,0))</x:f>
        <x:v>0</x:v>
      </x:c>
      <x:c r="R33" s="30" t="n">
        <x:f>MIN(100,ROUND(E33*12,0))</x:f>
        <x:v>0</x:v>
      </x:c>
      <x:c r="S33" s="30" t="n">
        <x:f>IF(H33="No",0,ROUND(P33*0.45+Q33*0.30+R33*0.15+IF(M33="Easy",10,IF(M33="Medium",6,2))+IF(N33="High",5,IF(N33="Medium",3,0)),1))</x:f>
        <x:v>0</x:v>
      </x:c>
      <x:c r="T33" s="14" t="str">
        <x:f>IF(H33="No","Exclude",IF(S33&gt;=70,"Priority 1",IF(S33&gt;=55,"Priority 2",IF(S33&gt;=40,"Priority 3","Low priority"))))</x:f>
        <x:v>Exclude</x:v>
      </x:c>
    </x:row>
    <x:row r="34">
      <x:c r="A34" s="14" t="n">
        <x:v>33</x:v>
      </x:c>
      <x:c r="B34" s="18" t="str">
        <x:v>calculator 4d prize</x:v>
      </x:c>
      <x:c r="C34" s="18" t="str">
        <x:v>null</x:v>
      </x:c>
      <x:c r="D34" s="26" t="n">
        <x:v>0</x:v>
      </x:c>
      <x:c r="E34" s="28" t="n">
        <x:v>0</x:v>
      </x:c>
      <x:c r="F34" s="14" t="n">
        <x:v>1</x:v>
      </x:c>
      <x:c r="G34" s="14" t="n">
        <x:v>12</x:v>
      </x:c>
      <x:c r="H34" s="14" t="str">
        <x:v>No</x:v>
      </x:c>
      <x:c r="I34" s="18" t="str">
        <x:v>No measurable volume and no clear calculator-specific intent</x:v>
      </x:c>
      <x:c r="J34" s="18" t="str">
        <x:v>Excluded / Non-calculator</x:v>
      </x:c>
      <x:c r="K34" s="18" t="str"/>
      <x:c r="L34" s="18" t="n">
        <x:v>0</x:v>
      </x:c>
      <x:c r="M34" s="18" t="str"/>
      <x:c r="N34" s="18" t="str"/>
      <x:c r="O34" s="18" t="str"/>
      <x:c r="P34" s="30" t="n">
        <x:f>MAX(0,100-G34)</x:f>
        <x:v>88</x:v>
      </x:c>
      <x:c r="Q34" s="30" t="n">
        <x:f>MIN(100,ROUND(LOG10(D34+1)*18,0))</x:f>
        <x:v>0</x:v>
      </x:c>
      <x:c r="R34" s="30" t="n">
        <x:f>MIN(100,ROUND(E34*12,0))</x:f>
        <x:v>0</x:v>
      </x:c>
      <x:c r="S34" s="30" t="n">
        <x:f>IF(H34="No",0,ROUND(P34*0.45+Q34*0.30+R34*0.15+IF(M34="Easy",10,IF(M34="Medium",6,2))+IF(N34="High",5,IF(N34="Medium",3,0)),1))</x:f>
        <x:v>0</x:v>
      </x:c>
      <x:c r="T34" s="14" t="str">
        <x:f>IF(H34="No","Exclude",IF(S34&gt;=70,"Priority 1",IF(S34&gt;=55,"Priority 2",IF(S34&gt;=40,"Priority 3","Low priority"))))</x:f>
        <x:v>Exclude</x:v>
      </x:c>
    </x:row>
    <x:row r="35">
      <x:c r="A35" s="14" t="n">
        <x:v>34</x:v>
      </x:c>
      <x:c r="B35" s="18" t="str">
        <x:v>calculator 570 fx</x:v>
      </x:c>
      <x:c r="C35" s="18" t="str">
        <x:v>null</x:v>
      </x:c>
      <x:c r="D35" s="26" t="n">
        <x:v>0</x:v>
      </x:c>
      <x:c r="E35" s="28" t="n">
        <x:v>0</x:v>
      </x:c>
      <x:c r="F35" s="14" t="n">
        <x:v>1</x:v>
      </x:c>
      <x:c r="G35" s="14" t="n">
        <x:v>12</x:v>
      </x:c>
      <x:c r="H35" s="14" t="str">
        <x:v>No</x:v>
      </x:c>
      <x:c r="I35" s="18" t="str">
        <x:v>No measurable volume and no clear calculator-specific intent</x:v>
      </x:c>
      <x:c r="J35" s="18" t="str">
        <x:v>Excluded / Non-calculator</x:v>
      </x:c>
      <x:c r="K35" s="18" t="str"/>
      <x:c r="L35" s="18" t="n">
        <x:v>0</x:v>
      </x:c>
      <x:c r="M35" s="18" t="str"/>
      <x:c r="N35" s="18" t="str"/>
      <x:c r="O35" s="18" t="str"/>
      <x:c r="P35" s="30" t="n">
        <x:f>MAX(0,100-G35)</x:f>
        <x:v>88</x:v>
      </x:c>
      <x:c r="Q35" s="30" t="n">
        <x:f>MIN(100,ROUND(LOG10(D35+1)*18,0))</x:f>
        <x:v>0</x:v>
      </x:c>
      <x:c r="R35" s="30" t="n">
        <x:f>MIN(100,ROUND(E35*12,0))</x:f>
        <x:v>0</x:v>
      </x:c>
      <x:c r="S35" s="30" t="n">
        <x:f>IF(H35="No",0,ROUND(P35*0.45+Q35*0.30+R35*0.15+IF(M35="Easy",10,IF(M35="Medium",6,2))+IF(N35="High",5,IF(N35="Medium",3,0)),1))</x:f>
        <x:v>0</x:v>
      </x:c>
      <x:c r="T35" s="14" t="str">
        <x:f>IF(H35="No","Exclude",IF(S35&gt;=70,"Priority 1",IF(S35&gt;=55,"Priority 2",IF(S35&gt;=40,"Priority 3","Low priority"))))</x:f>
        <x:v>Exclude</x:v>
      </x:c>
    </x:row>
    <x:row r="36">
      <x:c r="A36" s="14" t="n">
        <x:v>35</x:v>
      </x:c>
      <x:c r="B36" s="18" t="str">
        <x:v>calculator 6th grade</x:v>
      </x:c>
      <x:c r="C36" s="18" t="str">
        <x:v>null</x:v>
      </x:c>
      <x:c r="D36" s="26" t="n">
        <x:v>0</x:v>
      </x:c>
      <x:c r="E36" s="28" t="n">
        <x:v>0</x:v>
      </x:c>
      <x:c r="F36" s="14" t="n">
        <x:v>1</x:v>
      </x:c>
      <x:c r="G36" s="14" t="n">
        <x:v>12</x:v>
      </x:c>
      <x:c r="H36" s="14" t="str">
        <x:v>No</x:v>
      </x:c>
      <x:c r="I36" s="18" t="str">
        <x:v>No measurable volume and no clear calculator-specific intent</x:v>
      </x:c>
      <x:c r="J36" s="18" t="str">
        <x:v>Excluded / Non-calculator</x:v>
      </x:c>
      <x:c r="K36" s="18" t="str"/>
      <x:c r="L36" s="18" t="n">
        <x:v>0</x:v>
      </x:c>
      <x:c r="M36" s="18" t="str"/>
      <x:c r="N36" s="18" t="str"/>
      <x:c r="O36" s="18" t="str"/>
      <x:c r="P36" s="30" t="n">
        <x:f>MAX(0,100-G36)</x:f>
        <x:v>88</x:v>
      </x:c>
      <x:c r="Q36" s="30" t="n">
        <x:f>MIN(100,ROUND(LOG10(D36+1)*18,0))</x:f>
        <x:v>0</x:v>
      </x:c>
      <x:c r="R36" s="30" t="n">
        <x:f>MIN(100,ROUND(E36*12,0))</x:f>
        <x:v>0</x:v>
      </x:c>
      <x:c r="S36" s="30" t="n">
        <x:f>IF(H36="No",0,ROUND(P36*0.45+Q36*0.30+R36*0.15+IF(M36="Easy",10,IF(M36="Medium",6,2))+IF(N36="High",5,IF(N36="Medium",3,0)),1))</x:f>
        <x:v>0</x:v>
      </x:c>
      <x:c r="T36" s="14" t="str">
        <x:f>IF(H36="No","Exclude",IF(S36&gt;=70,"Priority 1",IF(S36&gt;=55,"Priority 2",IF(S36&gt;=40,"Priority 3","Low priority"))))</x:f>
        <x:v>Exclude</x:v>
      </x:c>
    </x:row>
    <x:row r="37">
      <x:c r="A37" s="14" t="n">
        <x:v>36</x:v>
      </x:c>
      <x:c r="B37" s="18" t="str">
        <x:v>calculator 67 meme</x:v>
      </x:c>
      <x:c r="C37" s="18" t="str">
        <x:v>null</x:v>
      </x:c>
      <x:c r="D37" s="26" t="n">
        <x:v>0</x:v>
      </x:c>
      <x:c r="E37" s="28" t="n">
        <x:v>0</x:v>
      </x:c>
      <x:c r="F37" s="14" t="n">
        <x:v>1</x:v>
      </x:c>
      <x:c r="G37" s="14" t="n">
        <x:v>12</x:v>
      </x:c>
      <x:c r="H37" s="14" t="str">
        <x:v>No</x:v>
      </x:c>
      <x:c r="I37" s="18" t="str">
        <x:v>App/product/brand/navigation/media intent rather than a calculation</x:v>
      </x:c>
      <x:c r="J37" s="18" t="str">
        <x:v>Excluded / Non-calculator</x:v>
      </x:c>
      <x:c r="K37" s="18" t="str"/>
      <x:c r="L37" s="18" t="n">
        <x:v>0</x:v>
      </x:c>
      <x:c r="M37" s="18" t="str"/>
      <x:c r="N37" s="18" t="str"/>
      <x:c r="O37" s="18" t="str"/>
      <x:c r="P37" s="30" t="n">
        <x:f>MAX(0,100-G37)</x:f>
        <x:v>88</x:v>
      </x:c>
      <x:c r="Q37" s="30" t="n">
        <x:f>MIN(100,ROUND(LOG10(D37+1)*18,0))</x:f>
        <x:v>0</x:v>
      </x:c>
      <x:c r="R37" s="30" t="n">
        <x:f>MIN(100,ROUND(E37*12,0))</x:f>
        <x:v>0</x:v>
      </x:c>
      <x:c r="S37" s="30" t="n">
        <x:f>IF(H37="No",0,ROUND(P37*0.45+Q37*0.30+R37*0.15+IF(M37="Easy",10,IF(M37="Medium",6,2))+IF(N37="High",5,IF(N37="Medium",3,0)),1))</x:f>
        <x:v>0</x:v>
      </x:c>
      <x:c r="T37" s="14" t="str">
        <x:f>IF(H37="No","Exclude",IF(S37&gt;=70,"Priority 1",IF(S37&gt;=55,"Priority 2",IF(S37&gt;=40,"Priority 3","Low priority"))))</x:f>
        <x:v>Exclude</x:v>
      </x:c>
    </x:row>
    <x:row r="38">
      <x:c r="A38" s="14" t="n">
        <x:v>37</x:v>
      </x:c>
      <x:c r="B38" s="18" t="str">
        <x:v>calculator 7th grade</x:v>
      </x:c>
      <x:c r="C38" s="18" t="str">
        <x:v>null</x:v>
      </x:c>
      <x:c r="D38" s="26" t="n">
        <x:v>0</x:v>
      </x:c>
      <x:c r="E38" s="28" t="n">
        <x:v>0</x:v>
      </x:c>
      <x:c r="F38" s="14" t="n">
        <x:v>1</x:v>
      </x:c>
      <x:c r="G38" s="14" t="n">
        <x:v>12</x:v>
      </x:c>
      <x:c r="H38" s="14" t="str">
        <x:v>No</x:v>
      </x:c>
      <x:c r="I38" s="18" t="str">
        <x:v>No measurable volume and no clear calculator-specific intent</x:v>
      </x:c>
      <x:c r="J38" s="18" t="str">
        <x:v>Excluded / Non-calculator</x:v>
      </x:c>
      <x:c r="K38" s="18" t="str"/>
      <x:c r="L38" s="18" t="n">
        <x:v>0</x:v>
      </x:c>
      <x:c r="M38" s="18" t="str"/>
      <x:c r="N38" s="18" t="str"/>
      <x:c r="O38" s="18" t="str"/>
      <x:c r="P38" s="30" t="n">
        <x:f>MAX(0,100-G38)</x:f>
        <x:v>88</x:v>
      </x:c>
      <x:c r="Q38" s="30" t="n">
        <x:f>MIN(100,ROUND(LOG10(D38+1)*18,0))</x:f>
        <x:v>0</x:v>
      </x:c>
      <x:c r="R38" s="30" t="n">
        <x:f>MIN(100,ROUND(E38*12,0))</x:f>
        <x:v>0</x:v>
      </x:c>
      <x:c r="S38" s="30" t="n">
        <x:f>IF(H38="No",0,ROUND(P38*0.45+Q38*0.30+R38*0.15+IF(M38="Easy",10,IF(M38="Medium",6,2))+IF(N38="High",5,IF(N38="Medium",3,0)),1))</x:f>
        <x:v>0</x:v>
      </x:c>
      <x:c r="T38" s="14" t="str">
        <x:f>IF(H38="No","Exclude",IF(S38&gt;=70,"Priority 1",IF(S38&gt;=55,"Priority 2",IF(S38&gt;=40,"Priority 3","Low priority"))))</x:f>
        <x:v>Exclude</x:v>
      </x:c>
    </x:row>
    <x:row r="39">
      <x:c r="A39" s="14" t="n">
        <x:v>38</x:v>
      </x:c>
      <x:c r="B39" s="18" t="str">
        <x:v>calculator 75 attendance</x:v>
      </x:c>
      <x:c r="C39" s="18" t="str">
        <x:v>null</x:v>
      </x:c>
      <x:c r="D39" s="26" t="n">
        <x:v>0</x:v>
      </x:c>
      <x:c r="E39" s="28" t="n">
        <x:v>0</x:v>
      </x:c>
      <x:c r="F39" s="14" t="n">
        <x:v>1</x:v>
      </x:c>
      <x:c r="G39" s="14" t="n">
        <x:v>12</x:v>
      </x:c>
      <x:c r="H39" s="14" t="str">
        <x:v>No</x:v>
      </x:c>
      <x:c r="I39" s="18" t="str">
        <x:v>No measurable volume and no clear calculator-specific intent</x:v>
      </x:c>
      <x:c r="J39" s="18" t="str">
        <x:v>Excluded / Non-calculator</x:v>
      </x:c>
      <x:c r="K39" s="18" t="str"/>
      <x:c r="L39" s="18" t="n">
        <x:v>0</x:v>
      </x:c>
      <x:c r="M39" s="18" t="str"/>
      <x:c r="N39" s="18" t="str"/>
      <x:c r="O39" s="18" t="str"/>
      <x:c r="P39" s="30" t="n">
        <x:f>MAX(0,100-G39)</x:f>
        <x:v>88</x:v>
      </x:c>
      <x:c r="Q39" s="30" t="n">
        <x:f>MIN(100,ROUND(LOG10(D39+1)*18,0))</x:f>
        <x:v>0</x:v>
      </x:c>
      <x:c r="R39" s="30" t="n">
        <x:f>MIN(100,ROUND(E39*12,0))</x:f>
        <x:v>0</x:v>
      </x:c>
      <x:c r="S39" s="30" t="n">
        <x:f>IF(H39="No",0,ROUND(P39*0.45+Q39*0.30+R39*0.15+IF(M39="Easy",10,IF(M39="Medium",6,2))+IF(N39="High",5,IF(N39="Medium",3,0)),1))</x:f>
        <x:v>0</x:v>
      </x:c>
      <x:c r="T39" s="14" t="str">
        <x:f>IF(H39="No","Exclude",IF(S39&gt;=70,"Priority 1",IF(S39&gt;=55,"Priority 2",IF(S39&gt;=40,"Priority 3","Low priority"))))</x:f>
        <x:v>Exclude</x:v>
      </x:c>
    </x:row>
    <x:row r="40">
      <x:c r="A40" s="14" t="n">
        <x:v>39</x:v>
      </x:c>
      <x:c r="B40" s="18" t="str">
        <x:v>calculator 84 ti</x:v>
      </x:c>
      <x:c r="C40" s="18" t="str">
        <x:v>null</x:v>
      </x:c>
      <x:c r="D40" s="26" t="n">
        <x:v>0</x:v>
      </x:c>
      <x:c r="E40" s="28" t="n">
        <x:v>0</x:v>
      </x:c>
      <x:c r="F40" s="14" t="n">
        <x:v>1</x:v>
      </x:c>
      <x:c r="G40" s="14" t="n">
        <x:v>12</x:v>
      </x:c>
      <x:c r="H40" s="14" t="str">
        <x:v>No</x:v>
      </x:c>
      <x:c r="I40" s="18" t="str">
        <x:v>No measurable volume and no clear calculator-specific intent</x:v>
      </x:c>
      <x:c r="J40" s="18" t="str">
        <x:v>Excluded / Non-calculator</x:v>
      </x:c>
      <x:c r="K40" s="18" t="str"/>
      <x:c r="L40" s="18" t="n">
        <x:v>0</x:v>
      </x:c>
      <x:c r="M40" s="18" t="str"/>
      <x:c r="N40" s="18" t="str"/>
      <x:c r="O40" s="18" t="str"/>
      <x:c r="P40" s="30" t="n">
        <x:f>MAX(0,100-G40)</x:f>
        <x:v>88</x:v>
      </x:c>
      <x:c r="Q40" s="30" t="n">
        <x:f>MIN(100,ROUND(LOG10(D40+1)*18,0))</x:f>
        <x:v>0</x:v>
      </x:c>
      <x:c r="R40" s="30" t="n">
        <x:f>MIN(100,ROUND(E40*12,0))</x:f>
        <x:v>0</x:v>
      </x:c>
      <x:c r="S40" s="30" t="n">
        <x:f>IF(H40="No",0,ROUND(P40*0.45+Q40*0.30+R40*0.15+IF(M40="Easy",10,IF(M40="Medium",6,2))+IF(N40="High",5,IF(N40="Medium",3,0)),1))</x:f>
        <x:v>0</x:v>
      </x:c>
      <x:c r="T40" s="14" t="str">
        <x:f>IF(H40="No","Exclude",IF(S40&gt;=70,"Priority 1",IF(S40&gt;=55,"Priority 2",IF(S40&gt;=40,"Priority 3","Low priority"))))</x:f>
        <x:v>Exclude</x:v>
      </x:c>
    </x:row>
    <x:row r="41">
      <x:c r="A41" s="14" t="n">
        <x:v>40</x:v>
      </x:c>
      <x:c r="B41" s="18" t="str">
        <x:v>calculator 8th grade</x:v>
      </x:c>
      <x:c r="C41" s="18" t="str">
        <x:v>null</x:v>
      </x:c>
      <x:c r="D41" s="26" t="n">
        <x:v>0</x:v>
      </x:c>
      <x:c r="E41" s="28" t="n">
        <x:v>0</x:v>
      </x:c>
      <x:c r="F41" s="14" t="n">
        <x:v>1</x:v>
      </x:c>
      <x:c r="G41" s="14" t="n">
        <x:v>12</x:v>
      </x:c>
      <x:c r="H41" s="14" t="str">
        <x:v>No</x:v>
      </x:c>
      <x:c r="I41" s="18" t="str">
        <x:v>No measurable volume and no clear calculator-specific intent</x:v>
      </x:c>
      <x:c r="J41" s="18" t="str">
        <x:v>Excluded / Non-calculator</x:v>
      </x:c>
      <x:c r="K41" s="18" t="str"/>
      <x:c r="L41" s="18" t="n">
        <x:v>0</x:v>
      </x:c>
      <x:c r="M41" s="18" t="str"/>
      <x:c r="N41" s="18" t="str"/>
      <x:c r="O41" s="18" t="str"/>
      <x:c r="P41" s="30" t="n">
        <x:f>MAX(0,100-G41)</x:f>
        <x:v>88</x:v>
      </x:c>
      <x:c r="Q41" s="30" t="n">
        <x:f>MIN(100,ROUND(LOG10(D41+1)*18,0))</x:f>
        <x:v>0</x:v>
      </x:c>
      <x:c r="R41" s="30" t="n">
        <x:f>MIN(100,ROUND(E41*12,0))</x:f>
        <x:v>0</x:v>
      </x:c>
      <x:c r="S41" s="30" t="n">
        <x:f>IF(H41="No",0,ROUND(P41*0.45+Q41*0.30+R41*0.15+IF(M41="Easy",10,IF(M41="Medium",6,2))+IF(N41="High",5,IF(N41="Medium",3,0)),1))</x:f>
        <x:v>0</x:v>
      </x:c>
      <x:c r="T41" s="14" t="str">
        <x:f>IF(H41="No","Exclude",IF(S41&gt;=70,"Priority 1",IF(S41&gt;=55,"Priority 2",IF(S41&gt;=40,"Priority 3","Low priority"))))</x:f>
        <x:v>Exclude</x:v>
      </x:c>
    </x:row>
    <x:row r="42">
      <x:c r="A42" s="14" t="n">
        <x:v>41</x:v>
      </x:c>
      <x:c r="B42" s="18" t="str">
        <x:v>calculator 80085 gif</x:v>
      </x:c>
      <x:c r="C42" s="18" t="str">
        <x:v>null</x:v>
      </x:c>
      <x:c r="D42" s="26" t="n">
        <x:v>0</x:v>
      </x:c>
      <x:c r="E42" s="28" t="n">
        <x:v>0</x:v>
      </x:c>
      <x:c r="F42" s="14" t="n">
        <x:v>1</x:v>
      </x:c>
      <x:c r="G42" s="14" t="n">
        <x:v>12</x:v>
      </x:c>
      <x:c r="H42" s="14" t="str">
        <x:v>No</x:v>
      </x:c>
      <x:c r="I42" s="18" t="str">
        <x:v>No measurable volume and no clear calculator-specific intent</x:v>
      </x:c>
      <x:c r="J42" s="18" t="str">
        <x:v>Excluded / Non-calculator</x:v>
      </x:c>
      <x:c r="K42" s="18" t="str"/>
      <x:c r="L42" s="18" t="n">
        <x:v>0</x:v>
      </x:c>
      <x:c r="M42" s="18" t="str"/>
      <x:c r="N42" s="18" t="str"/>
      <x:c r="O42" s="18" t="str"/>
      <x:c r="P42" s="30" t="n">
        <x:f>MAX(0,100-G42)</x:f>
        <x:v>88</x:v>
      </x:c>
      <x:c r="Q42" s="30" t="n">
        <x:f>MIN(100,ROUND(LOG10(D42+1)*18,0))</x:f>
        <x:v>0</x:v>
      </x:c>
      <x:c r="R42" s="30" t="n">
        <x:f>MIN(100,ROUND(E42*12,0))</x:f>
        <x:v>0</x:v>
      </x:c>
      <x:c r="S42" s="30" t="n">
        <x:f>IF(H42="No",0,ROUND(P42*0.45+Q42*0.30+R42*0.15+IF(M42="Easy",10,IF(M42="Medium",6,2))+IF(N42="High",5,IF(N42="Medium",3,0)),1))</x:f>
        <x:v>0</x:v>
      </x:c>
      <x:c r="T42" s="14" t="str">
        <x:f>IF(H42="No","Exclude",IF(S42&gt;=70,"Priority 1",IF(S42&gt;=55,"Priority 2",IF(S42&gt;=40,"Priority 3","Low priority"))))</x:f>
        <x:v>Exclude</x:v>
      </x:c>
    </x:row>
    <x:row r="43">
      <x:c r="A43" s="14" t="n">
        <x:v>42</x:v>
      </x:c>
      <x:c r="B43" s="18" t="str">
        <x:v>calculator check writing</x:v>
      </x:c>
      <x:c r="C43" s="18" t="str">
        <x:v>null</x:v>
      </x:c>
      <x:c r="D43" s="26" t="n">
        <x:v>0</x:v>
      </x:c>
      <x:c r="E43" s="28" t="n">
        <x:v>0</x:v>
      </x:c>
      <x:c r="F43" s="14" t="n">
        <x:v>1</x:v>
      </x:c>
      <x:c r="G43" s="14" t="n">
        <x:v>12</x:v>
      </x:c>
      <x:c r="H43" s="14" t="str">
        <x:v>No</x:v>
      </x:c>
      <x:c r="I43" s="18" t="str">
        <x:v>No measurable volume and no clear calculator-specific intent</x:v>
      </x:c>
      <x:c r="J43" s="18" t="str">
        <x:v>Excluded / Non-calculator</x:v>
      </x:c>
      <x:c r="K43" s="18" t="str"/>
      <x:c r="L43" s="18" t="n">
        <x:v>0</x:v>
      </x:c>
      <x:c r="M43" s="18" t="str"/>
      <x:c r="N43" s="18" t="str"/>
      <x:c r="O43" s="18" t="str"/>
      <x:c r="P43" s="30" t="n">
        <x:f>MAX(0,100-G43)</x:f>
        <x:v>88</x:v>
      </x:c>
      <x:c r="Q43" s="30" t="n">
        <x:f>MIN(100,ROUND(LOG10(D43+1)*18,0))</x:f>
        <x:v>0</x:v>
      </x:c>
      <x:c r="R43" s="30" t="n">
        <x:f>MIN(100,ROUND(E43*12,0))</x:f>
        <x:v>0</x:v>
      </x:c>
      <x:c r="S43" s="30" t="n">
        <x:f>IF(H43="No",0,ROUND(P43*0.45+Q43*0.30+R43*0.15+IF(M43="Easy",10,IF(M43="Medium",6,2))+IF(N43="High",5,IF(N43="Medium",3,0)),1))</x:f>
        <x:v>0</x:v>
      </x:c>
      <x:c r="T43" s="14" t="str">
        <x:f>IF(H43="No","Exclude",IF(S43&gt;=70,"Priority 1",IF(S43&gt;=55,"Priority 2",IF(S43&gt;=40,"Priority 3","Low priority"))))</x:f>
        <x:v>Exclude</x:v>
      </x:c>
    </x:row>
    <x:row r="44">
      <x:c r="A44" s="14" t="n">
        <x:v>43</x:v>
      </x:c>
      <x:c r="B44" s="18" t="str">
        <x:v>calculator dmv fees</x:v>
      </x:c>
      <x:c r="C44" s="18" t="str">
        <x:v>null</x:v>
      </x:c>
      <x:c r="D44" s="26" t="n">
        <x:v>0</x:v>
      </x:c>
      <x:c r="E44" s="28" t="n">
        <x:v>0</x:v>
      </x:c>
      <x:c r="F44" s="14" t="n">
        <x:v>1</x:v>
      </x:c>
      <x:c r="G44" s="14" t="n">
        <x:v>12</x:v>
      </x:c>
      <x:c r="H44" s="14" t="str">
        <x:v>No</x:v>
      </x:c>
      <x:c r="I44" s="18" t="str">
        <x:v>No measurable volume and no clear calculator-specific intent</x:v>
      </x:c>
      <x:c r="J44" s="18" t="str">
        <x:v>Excluded / Non-calculator</x:v>
      </x:c>
      <x:c r="K44" s="18" t="str"/>
      <x:c r="L44" s="18" t="n">
        <x:v>0</x:v>
      </x:c>
      <x:c r="M44" s="18" t="str"/>
      <x:c r="N44" s="18" t="str"/>
      <x:c r="O44" s="18" t="str"/>
      <x:c r="P44" s="30" t="n">
        <x:f>MAX(0,100-G44)</x:f>
        <x:v>88</x:v>
      </x:c>
      <x:c r="Q44" s="30" t="n">
        <x:f>MIN(100,ROUND(LOG10(D44+1)*18,0))</x:f>
        <x:v>0</x:v>
      </x:c>
      <x:c r="R44" s="30" t="n">
        <x:f>MIN(100,ROUND(E44*12,0))</x:f>
        <x:v>0</x:v>
      </x:c>
      <x:c r="S44" s="30" t="n">
        <x:f>IF(H44="No",0,ROUND(P44*0.45+Q44*0.30+R44*0.15+IF(M44="Easy",10,IF(M44="Medium",6,2))+IF(N44="High",5,IF(N44="Medium",3,0)),1))</x:f>
        <x:v>0</x:v>
      </x:c>
      <x:c r="T44" s="14" t="str">
        <x:f>IF(H44="No","Exclude",IF(S44&gt;=70,"Priority 1",IF(S44&gt;=55,"Priority 2",IF(S44&gt;=40,"Priority 3","Low priority"))))</x:f>
        <x:v>Exclude</x:v>
      </x:c>
    </x:row>
    <x:row r="45">
      <x:c r="A45" s="14" t="n">
        <x:v>44</x:v>
      </x:c>
      <x:c r="B45" s="18" t="str">
        <x:v>calculator june 2026</x:v>
      </x:c>
      <x:c r="C45" s="18" t="str">
        <x:v>null</x:v>
      </x:c>
      <x:c r="D45" s="26" t="n">
        <x:v>0</x:v>
      </x:c>
      <x:c r="E45" s="28" t="n">
        <x:v>0</x:v>
      </x:c>
      <x:c r="F45" s="14" t="n">
        <x:v>1</x:v>
      </x:c>
      <x:c r="G45" s="14" t="n">
        <x:v>12</x:v>
      </x:c>
      <x:c r="H45" s="14" t="str">
        <x:v>No</x:v>
      </x:c>
      <x:c r="I45" s="18" t="str">
        <x:v>No measurable volume and no clear calculator-specific intent</x:v>
      </x:c>
      <x:c r="J45" s="18" t="str">
        <x:v>Excluded / Non-calculator</x:v>
      </x:c>
      <x:c r="K45" s="18" t="str"/>
      <x:c r="L45" s="18" t="n">
        <x:v>0</x:v>
      </x:c>
      <x:c r="M45" s="18" t="str"/>
      <x:c r="N45" s="18" t="str"/>
      <x:c r="O45" s="18" t="str"/>
      <x:c r="P45" s="30" t="n">
        <x:f>MAX(0,100-G45)</x:f>
        <x:v>88</x:v>
      </x:c>
      <x:c r="Q45" s="30" t="n">
        <x:f>MIN(100,ROUND(LOG10(D45+1)*18,0))</x:f>
        <x:v>0</x:v>
      </x:c>
      <x:c r="R45" s="30" t="n">
        <x:f>MIN(100,ROUND(E45*12,0))</x:f>
        <x:v>0</x:v>
      </x:c>
      <x:c r="S45" s="30" t="n">
        <x:f>IF(H45="No",0,ROUND(P45*0.45+Q45*0.30+R45*0.15+IF(M45="Easy",10,IF(M45="Medium",6,2))+IF(N45="High",5,IF(N45="Medium",3,0)),1))</x:f>
        <x:v>0</x:v>
      </x:c>
      <x:c r="T45" s="14" t="str">
        <x:f>IF(H45="No","Exclude",IF(S45&gt;=70,"Priority 1",IF(S45&gt;=55,"Priority 2",IF(S45&gt;=40,"Priority 3","Low priority"))))</x:f>
        <x:v>Exclude</x:v>
      </x:c>
    </x:row>
    <x:row r="46">
      <x:c r="A46" s="14" t="n">
        <x:v>45</x:v>
      </x:c>
      <x:c r="B46" s="18" t="str">
        <x:v>calculator quick delivery</x:v>
      </x:c>
      <x:c r="C46" s="18" t="str">
        <x:v>null</x:v>
      </x:c>
      <x:c r="D46" s="26" t="n">
        <x:v>0</x:v>
      </x:c>
      <x:c r="E46" s="28" t="n">
        <x:v>0</x:v>
      </x:c>
      <x:c r="F46" s="14" t="n">
        <x:v>1</x:v>
      </x:c>
      <x:c r="G46" s="14" t="n">
        <x:v>12</x:v>
      </x:c>
      <x:c r="H46" s="14" t="str">
        <x:v>No</x:v>
      </x:c>
      <x:c r="I46" s="18" t="str">
        <x:v>No measurable volume and no clear calculator-specific intent</x:v>
      </x:c>
      <x:c r="J46" s="18" t="str">
        <x:v>Excluded / Non-calculator</x:v>
      </x:c>
      <x:c r="K46" s="18" t="str"/>
      <x:c r="L46" s="18" t="n">
        <x:v>0</x:v>
      </x:c>
      <x:c r="M46" s="18" t="str"/>
      <x:c r="N46" s="18" t="str"/>
      <x:c r="O46" s="18" t="str"/>
      <x:c r="P46" s="30" t="n">
        <x:f>MAX(0,100-G46)</x:f>
        <x:v>88</x:v>
      </x:c>
      <x:c r="Q46" s="30" t="n">
        <x:f>MIN(100,ROUND(LOG10(D46+1)*18,0))</x:f>
        <x:v>0</x:v>
      </x:c>
      <x:c r="R46" s="30" t="n">
        <x:f>MIN(100,ROUND(E46*12,0))</x:f>
        <x:v>0</x:v>
      </x:c>
      <x:c r="S46" s="30" t="n">
        <x:f>IF(H46="No",0,ROUND(P46*0.45+Q46*0.30+R46*0.15+IF(M46="Easy",10,IF(M46="Medium",6,2))+IF(N46="High",5,IF(N46="Medium",3,0)),1))</x:f>
        <x:v>0</x:v>
      </x:c>
      <x:c r="T46" s="14" t="str">
        <x:f>IF(H46="No","Exclude",IF(S46&gt;=70,"Priority 1",IF(S46&gt;=55,"Priority 2",IF(S46&gt;=40,"Priority 3","Low priority"))))</x:f>
        <x:v>Exclude</x:v>
      </x:c>
    </x:row>
    <x:row r="47">
      <x:c r="A47" s="14" t="n">
        <x:v>46</x:v>
      </x:c>
      <x:c r="B47" s="18" t="str">
        <x:v>calculator va disability</x:v>
      </x:c>
      <x:c r="C47" s="18" t="str">
        <x:v>null</x:v>
      </x:c>
      <x:c r="D47" s="26" t="n">
        <x:v>0</x:v>
      </x:c>
      <x:c r="E47" s="28" t="n">
        <x:v>0</x:v>
      </x:c>
      <x:c r="F47" s="14" t="n">
        <x:v>1</x:v>
      </x:c>
      <x:c r="G47" s="14" t="n">
        <x:v>12</x:v>
      </x:c>
      <x:c r="H47" s="14" t="str">
        <x:v>No</x:v>
      </x:c>
      <x:c r="I47" s="18" t="str">
        <x:v>No measurable volume and no clear calculator-specific intent</x:v>
      </x:c>
      <x:c r="J47" s="18" t="str">
        <x:v>Excluded / Non-calculator</x:v>
      </x:c>
      <x:c r="K47" s="18" t="str"/>
      <x:c r="L47" s="18" t="n">
        <x:v>0</x:v>
      </x:c>
      <x:c r="M47" s="18" t="str"/>
      <x:c r="N47" s="18" t="str"/>
      <x:c r="O47" s="18" t="str"/>
      <x:c r="P47" s="30" t="n">
        <x:f>MAX(0,100-G47)</x:f>
        <x:v>88</x:v>
      </x:c>
      <x:c r="Q47" s="30" t="n">
        <x:f>MIN(100,ROUND(LOG10(D47+1)*18,0))</x:f>
        <x:v>0</x:v>
      </x:c>
      <x:c r="R47" s="30" t="n">
        <x:f>MIN(100,ROUND(E47*12,0))</x:f>
        <x:v>0</x:v>
      </x:c>
      <x:c r="S47" s="30" t="n">
        <x:f>IF(H47="No",0,ROUND(P47*0.45+Q47*0.30+R47*0.15+IF(M47="Easy",10,IF(M47="Medium",6,2))+IF(N47="High",5,IF(N47="Medium",3,0)),1))</x:f>
        <x:v>0</x:v>
      </x:c>
      <x:c r="T47" s="14" t="str">
        <x:f>IF(H47="No","Exclude",IF(S47&gt;=70,"Priority 1",IF(S47&gt;=55,"Priority 2",IF(S47&gt;=40,"Priority 3","Low priority"))))</x:f>
        <x:v>Exclude</x:v>
      </x:c>
    </x:row>
    <x:row r="48">
      <x:c r="A48" s="14" t="n">
        <x:v>47</x:v>
      </x:c>
      <x:c r="B48" s="18" t="str">
        <x:v>calculator visa u</x:v>
      </x:c>
      <x:c r="C48" s="18" t="str">
        <x:v>null</x:v>
      </x:c>
      <x:c r="D48" s="26" t="n">
        <x:v>0</x:v>
      </x:c>
      <x:c r="E48" s="28" t="n">
        <x:v>0</x:v>
      </x:c>
      <x:c r="F48" s="14" t="n">
        <x:v>1</x:v>
      </x:c>
      <x:c r="G48" s="14" t="n">
        <x:v>12</x:v>
      </x:c>
      <x:c r="H48" s="14" t="str">
        <x:v>No</x:v>
      </x:c>
      <x:c r="I48" s="18" t="str">
        <x:v>No measurable volume and no clear calculator-specific intent</x:v>
      </x:c>
      <x:c r="J48" s="18" t="str">
        <x:v>Excluded / Non-calculator</x:v>
      </x:c>
      <x:c r="K48" s="18" t="str"/>
      <x:c r="L48" s="18" t="n">
        <x:v>0</x:v>
      </x:c>
      <x:c r="M48" s="18" t="str"/>
      <x:c r="N48" s="18" t="str"/>
      <x:c r="O48" s="18" t="str"/>
      <x:c r="P48" s="30" t="n">
        <x:f>MAX(0,100-G48)</x:f>
        <x:v>88</x:v>
      </x:c>
      <x:c r="Q48" s="30" t="n">
        <x:f>MIN(100,ROUND(LOG10(D48+1)*18,0))</x:f>
        <x:v>0</x:v>
      </x:c>
      <x:c r="R48" s="30" t="n">
        <x:f>MIN(100,ROUND(E48*12,0))</x:f>
        <x:v>0</x:v>
      </x:c>
      <x:c r="S48" s="30" t="n">
        <x:f>IF(H48="No",0,ROUND(P48*0.45+Q48*0.30+R48*0.15+IF(M48="Easy",10,IF(M48="Medium",6,2))+IF(N48="High",5,IF(N48="Medium",3,0)),1))</x:f>
        <x:v>0</x:v>
      </x:c>
      <x:c r="T48" s="14" t="str">
        <x:f>IF(H48="No","Exclude",IF(S48&gt;=70,"Priority 1",IF(S48&gt;=55,"Priority 2",IF(S48&gt;=40,"Priority 3","Low priority"))))</x:f>
        <x:v>Exclude</x:v>
      </x:c>
    </x:row>
    <x:row r="49">
      <x:c r="A49" s="14" t="n">
        <x:v>48</x:v>
      </x:c>
      <x:c r="B49" s="18" t="str">
        <x:v>calculator 3 simpla</x:v>
      </x:c>
      <x:c r="C49" s="18" t="str">
        <x:v>null</x:v>
      </x:c>
      <x:c r="D49" s="26" t="n">
        <x:v>0</x:v>
      </x:c>
      <x:c r="E49" s="28" t="n">
        <x:v>0</x:v>
      </x:c>
      <x:c r="F49" s="14" t="n">
        <x:v>1</x:v>
      </x:c>
      <x:c r="G49" s="14" t="n">
        <x:v>12</x:v>
      </x:c>
      <x:c r="H49" s="14" t="str">
        <x:v>No</x:v>
      </x:c>
      <x:c r="I49" s="18" t="str">
        <x:v>No measurable volume and no clear calculator-specific intent</x:v>
      </x:c>
      <x:c r="J49" s="18" t="str">
        <x:v>Excluded / Non-calculator</x:v>
      </x:c>
      <x:c r="K49" s="18" t="str"/>
      <x:c r="L49" s="18" t="n">
        <x:v>0</x:v>
      </x:c>
      <x:c r="M49" s="18" t="str"/>
      <x:c r="N49" s="18" t="str"/>
      <x:c r="O49" s="18" t="str"/>
      <x:c r="P49" s="30" t="n">
        <x:f>MAX(0,100-G49)</x:f>
        <x:v>88</x:v>
      </x:c>
      <x:c r="Q49" s="30" t="n">
        <x:f>MIN(100,ROUND(LOG10(D49+1)*18,0))</x:f>
        <x:v>0</x:v>
      </x:c>
      <x:c r="R49" s="30" t="n">
        <x:f>MIN(100,ROUND(E49*12,0))</x:f>
        <x:v>0</x:v>
      </x:c>
      <x:c r="S49" s="30" t="n">
        <x:f>IF(H49="No",0,ROUND(P49*0.45+Q49*0.30+R49*0.15+IF(M49="Easy",10,IF(M49="Medium",6,2))+IF(N49="High",5,IF(N49="Medium",3,0)),1))</x:f>
        <x:v>0</x:v>
      </x:c>
      <x:c r="T49" s="14" t="str">
        <x:f>IF(H49="No","Exclude",IF(S49&gt;=70,"Priority 1",IF(S49&gt;=55,"Priority 2",IF(S49&gt;=40,"Priority 3","Low priority"))))</x:f>
        <x:v>Exclude</x:v>
      </x:c>
    </x:row>
    <x:row r="50">
      <x:c r="A50" s="14" t="n">
        <x:v>49</x:v>
      </x:c>
      <x:c r="B50" s="18" t="str">
        <x:v>calculator tf</x:v>
      </x:c>
      <x:c r="C50" s="18" t="str">
        <x:v>informational</x:v>
      </x:c>
      <x:c r="D50" s="26" t="n">
        <x:v>260</x:v>
      </x:c>
      <x:c r="E50" s="28" t="n">
        <x:v>0</x:v>
      </x:c>
      <x:c r="F50" s="14" t="n">
        <x:v>1</x:v>
      </x:c>
      <x:c r="G50" s="14" t="n">
        <x:v>13</x:v>
      </x:c>
      <x:c r="H50" s="14" t="str">
        <x:v>Maybe</x:v>
      </x:c>
      <x:c r="I50" s="18" t="str">
        <x:v>Insufficiently specific; requires SERP validation before development</x:v>
      </x:c>
      <x:c r="J50" s="18" t="str">
        <x:v>General / Other</x:v>
      </x:c>
      <x:c r="K50" s="18" t="str">
        <x:v>Tf calculator</x:v>
      </x:c>
      <x:c r="L50" s="18" t="n">
        <x:v>1</x:v>
      </x:c>
      <x:c r="M50" s="18" t="str">
        <x:v>Easy</x:v>
      </x:c>
      <x:c r="N50" s="18" t="str">
        <x:v>Medium</x:v>
      </x:c>
      <x:c r="O50" s="18" t="str">
        <x:v>Ads</x:v>
      </x:c>
      <x:c r="P50" s="30" t="n">
        <x:f>MAX(0,100-G50)</x:f>
        <x:v>87</x:v>
      </x:c>
      <x:c r="Q50" s="30" t="n">
        <x:f>MIN(100,ROUND(LOG10(D50+1)*18,0))</x:f>
        <x:v>43</x:v>
      </x:c>
      <x:c r="R50" s="30" t="n">
        <x:f>MIN(100,ROUND(E50*12,0))</x:f>
        <x:v>0</x:v>
      </x:c>
      <x:c r="S50" s="30" t="n">
        <x:f>IF(H50="No",0,ROUND(P50*0.45+Q50*0.30+R50*0.15+IF(M50="Easy",10,IF(M50="Medium",6,2))+IF(N50="High",5,IF(N50="Medium",3,0)),1))</x:f>
        <x:v>65.1</x:v>
      </x:c>
      <x:c r="T50" s="14" t="str">
        <x:f>IF(H50="No","Exclude",IF(S50&gt;=70,"Priority 1",IF(S50&gt;=55,"Priority 2",IF(S50&gt;=40,"Priority 3","Low priority"))))</x:f>
        <x:v>Priority 2</x:v>
      </x:c>
    </x:row>
    <x:row r="51">
      <x:c r="A51" s="14" t="n">
        <x:v>50</x:v>
      </x:c>
      <x:c r="B51" s="18" t="str">
        <x:v>calculator jailbreak</x:v>
      </x:c>
      <x:c r="C51" s="18" t="str">
        <x:v>informational</x:v>
      </x:c>
      <x:c r="D51" s="26" t="n">
        <x:v>40</x:v>
      </x:c>
      <x:c r="E51" s="28" t="n">
        <x:v>0</x:v>
      </x:c>
      <x:c r="F51" s="14" t="n">
        <x:v>1</x:v>
      </x:c>
      <x:c r="G51" s="14" t="n">
        <x:v>13</x:v>
      </x:c>
      <x:c r="H51" s="14" t="str">
        <x:v>Maybe</x:v>
      </x:c>
      <x:c r="I51" s="18" t="str">
        <x:v>Insufficiently specific; requires SERP validation before development</x:v>
      </x:c>
      <x:c r="J51" s="18" t="str">
        <x:v>General / Other</x:v>
      </x:c>
      <x:c r="K51" s="18" t="str">
        <x:v>Jailbreak calculator</x:v>
      </x:c>
      <x:c r="L51" s="18" t="n">
        <x:v>1</x:v>
      </x:c>
      <x:c r="M51" s="18" t="str">
        <x:v>Easy</x:v>
      </x:c>
      <x:c r="N51" s="18" t="str">
        <x:v>Medium</x:v>
      </x:c>
      <x:c r="O51" s="18" t="str">
        <x:v>Ads</x:v>
      </x:c>
      <x:c r="P51" s="30" t="n">
        <x:f>MAX(0,100-G51)</x:f>
        <x:v>87</x:v>
      </x:c>
      <x:c r="Q51" s="30" t="n">
        <x:f>MIN(100,ROUND(LOG10(D51+1)*18,0))</x:f>
        <x:v>29</x:v>
      </x:c>
      <x:c r="R51" s="30" t="n">
        <x:f>MIN(100,ROUND(E51*12,0))</x:f>
        <x:v>0</x:v>
      </x:c>
      <x:c r="S51" s="30" t="n">
        <x:f>IF(H51="No",0,ROUND(P51*0.45+Q51*0.30+R51*0.15+IF(M51="Easy",10,IF(M51="Medium",6,2))+IF(N51="High",5,IF(N51="Medium",3,0)),1))</x:f>
        <x:v>60.9</x:v>
      </x:c>
      <x:c r="T51" s="14" t="str">
        <x:f>IF(H51="No","Exclude",IF(S51&gt;=70,"Priority 1",IF(S51&gt;=55,"Priority 2",IF(S51&gt;=40,"Priority 3","Low priority"))))</x:f>
        <x:v>Priority 2</x:v>
      </x:c>
    </x:row>
    <x:row r="52">
      <x:c r="A52" s="14" t="n">
        <x:v>51</x:v>
      </x:c>
      <x:c r="B52" s="18" t="str">
        <x:v>calculator 0 off</x:v>
      </x:c>
      <x:c r="C52" s="18" t="str">
        <x:v>null</x:v>
      </x:c>
      <x:c r="D52" s="26" t="n">
        <x:v>10</x:v>
      </x:c>
      <x:c r="E52" s="28" t="n">
        <x:v>0</x:v>
      </x:c>
      <x:c r="F52" s="14" t="n">
        <x:v>1</x:v>
      </x:c>
      <x:c r="G52" s="14" t="n">
        <x:v>13</x:v>
      </x:c>
      <x:c r="H52" s="14" t="str">
        <x:v>Maybe</x:v>
      </x:c>
      <x:c r="I52" s="18" t="str">
        <x:v>Insufficiently specific; requires SERP validation before development</x:v>
      </x:c>
      <x:c r="J52" s="18" t="str">
        <x:v>General / Other</x:v>
      </x:c>
      <x:c r="K52" s="18" t="str">
        <x:v>0 Off calculator</x:v>
      </x:c>
      <x:c r="L52" s="18" t="n">
        <x:v>1</x:v>
      </x:c>
      <x:c r="M52" s="18" t="str">
        <x:v>Easy</x:v>
      </x:c>
      <x:c r="N52" s="18" t="str">
        <x:v>Medium</x:v>
      </x:c>
      <x:c r="O52" s="18" t="str">
        <x:v>Ads</x:v>
      </x:c>
      <x:c r="P52" s="30" t="n">
        <x:f>MAX(0,100-G52)</x:f>
        <x:v>87</x:v>
      </x:c>
      <x:c r="Q52" s="30" t="n">
        <x:f>MIN(100,ROUND(LOG10(D52+1)*18,0))</x:f>
        <x:v>19</x:v>
      </x:c>
      <x:c r="R52" s="30" t="n">
        <x:f>MIN(100,ROUND(E52*12,0))</x:f>
        <x:v>0</x:v>
      </x:c>
      <x:c r="S52" s="30" t="n">
        <x:f>IF(H52="No",0,ROUND(P52*0.45+Q52*0.30+R52*0.15+IF(M52="Easy",10,IF(M52="Medium",6,2))+IF(N52="High",5,IF(N52="Medium",3,0)),1))</x:f>
        <x:v>57.9</x:v>
      </x:c>
      <x:c r="T52" s="14" t="str">
        <x:f>IF(H52="No","Exclude",IF(S52&gt;=70,"Priority 1",IF(S52&gt;=55,"Priority 2",IF(S52&gt;=40,"Priority 3","Low priority"))))</x:f>
        <x:v>Priority 2</x:v>
      </x:c>
    </x:row>
    <x:row r="53">
      <x:c r="A53" s="14" t="n">
        <x:v>52</x:v>
      </x:c>
      <x:c r="B53" s="18" t="str">
        <x:v>calculator keycaps</x:v>
      </x:c>
      <x:c r="C53" s="18" t="str">
        <x:v>commercial, navigational</x:v>
      </x:c>
      <x:c r="D53" s="26" t="n">
        <x:v>30</x:v>
      </x:c>
      <x:c r="E53" s="28" t="n">
        <x:v>0.72</x:v>
      </x:c>
      <x:c r="F53" s="14" t="n">
        <x:v>3</x:v>
      </x:c>
      <x:c r="G53" s="14" t="n">
        <x:v>14</x:v>
      </x:c>
      <x:c r="H53" s="14" t="str">
        <x:v>Maybe</x:v>
      </x:c>
      <x:c r="I53" s="18" t="str">
        <x:v>Insufficiently specific; requires SERP validation before development</x:v>
      </x:c>
      <x:c r="J53" s="18" t="str">
        <x:v>General / Other</x:v>
      </x:c>
      <x:c r="K53" s="18" t="str">
        <x:v>Keycaps calculator</x:v>
      </x:c>
      <x:c r="L53" s="18" t="n">
        <x:v>1</x:v>
      </x:c>
      <x:c r="M53" s="18" t="str">
        <x:v>Easy</x:v>
      </x:c>
      <x:c r="N53" s="18" t="str">
        <x:v>Medium</x:v>
      </x:c>
      <x:c r="O53" s="18" t="str">
        <x:v>Ads</x:v>
      </x:c>
      <x:c r="P53" s="30" t="n">
        <x:f>MAX(0,100-G53)</x:f>
        <x:v>86</x:v>
      </x:c>
      <x:c r="Q53" s="30" t="n">
        <x:f>MIN(100,ROUND(LOG10(D53+1)*18,0))</x:f>
        <x:v>27</x:v>
      </x:c>
      <x:c r="R53" s="30" t="n">
        <x:f>MIN(100,ROUND(E53*12,0))</x:f>
        <x:v>9</x:v>
      </x:c>
      <x:c r="S53" s="30" t="n">
        <x:f>IF(H53="No",0,ROUND(P53*0.45+Q53*0.30+R53*0.15+IF(M53="Easy",10,IF(M53="Medium",6,2))+IF(N53="High",5,IF(N53="Medium",3,0)),1))</x:f>
        <x:v>61.2</x:v>
      </x:c>
      <x:c r="T53" s="14" t="str">
        <x:f>IF(H53="No","Exclude",IF(S53&gt;=70,"Priority 1",IF(S53&gt;=55,"Priority 2",IF(S53&gt;=40,"Priority 3","Low priority"))))</x:f>
        <x:v>Priority 2</x:v>
      </x:c>
    </x:row>
    <x:row r="54">
      <x:c r="A54" s="14" t="n">
        <x:v>53</x:v>
      </x:c>
      <x:c r="B54" s="18" t="str">
        <x:v>calculator vault apk</x:v>
      </x:c>
      <x:c r="C54" s="18" t="str">
        <x:v>null</x:v>
      </x:c>
      <x:c r="D54" s="26" t="n">
        <x:v>30</x:v>
      </x:c>
      <x:c r="E54" s="28" t="n">
        <x:v>0</x:v>
      </x:c>
      <x:c r="F54" s="14" t="n">
        <x:v>1</x:v>
      </x:c>
      <x:c r="G54" s="14" t="n">
        <x:v>14</x:v>
      </x:c>
      <x:c r="H54" s="14" t="str">
        <x:v>No</x:v>
      </x:c>
      <x:c r="I54" s="18" t="str">
        <x:v>App/product/brand/navigation/media intent rather than a calculation</x:v>
      </x:c>
      <x:c r="J54" s="18" t="str">
        <x:v>Excluded / Non-calculator</x:v>
      </x:c>
      <x:c r="K54" s="18" t="str"/>
      <x:c r="L54" s="18" t="n">
        <x:v>0</x:v>
      </x:c>
      <x:c r="M54" s="18" t="str"/>
      <x:c r="N54" s="18" t="str"/>
      <x:c r="O54" s="18" t="str"/>
      <x:c r="P54" s="30" t="n">
        <x:f>MAX(0,100-G54)</x:f>
        <x:v>86</x:v>
      </x:c>
      <x:c r="Q54" s="30" t="n">
        <x:f>MIN(100,ROUND(LOG10(D54+1)*18,0))</x:f>
        <x:v>27</x:v>
      </x:c>
      <x:c r="R54" s="30" t="n">
        <x:f>MIN(100,ROUND(E54*12,0))</x:f>
        <x:v>0</x:v>
      </x:c>
      <x:c r="S54" s="30" t="n">
        <x:f>IF(H54="No",0,ROUND(P54*0.45+Q54*0.30+R54*0.15+IF(M54="Easy",10,IF(M54="Medium",6,2))+IF(N54="High",5,IF(N54="Medium",3,0)),1))</x:f>
        <x:v>0</x:v>
      </x:c>
      <x:c r="T54" s="14" t="str">
        <x:f>IF(H54="No","Exclude",IF(S54&gt;=70,"Priority 1",IF(S54&gt;=55,"Priority 2",IF(S54&gt;=40,"Priority 3","Low priority"))))</x:f>
        <x:v>Exclude</x:v>
      </x:c>
    </x:row>
    <x:row r="55">
      <x:c r="A55" s="14" t="n">
        <x:v>54</x:v>
      </x:c>
      <x:c r="B55" s="18" t="str">
        <x:v>calculator youtube earnings</x:v>
      </x:c>
      <x:c r="C55" s="18" t="str">
        <x:v>null</x:v>
      </x:c>
      <x:c r="D55" s="26" t="n">
        <x:v>10</x:v>
      </x:c>
      <x:c r="E55" s="28" t="n">
        <x:v>0</x:v>
      </x:c>
      <x:c r="F55" s="14" t="n">
        <x:v>1</x:v>
      </x:c>
      <x:c r="G55" s="14" t="n">
        <x:v>14</x:v>
      </x:c>
      <x:c r="H55" s="14" t="str">
        <x:v>No</x:v>
      </x:c>
      <x:c r="I55" s="18" t="str">
        <x:v>App/product/brand/navigation/media intent rather than a calculation</x:v>
      </x:c>
      <x:c r="J55" s="18" t="str">
        <x:v>Excluded / Non-calculator</x:v>
      </x:c>
      <x:c r="K55" s="18" t="str"/>
      <x:c r="L55" s="18" t="n">
        <x:v>0</x:v>
      </x:c>
      <x:c r="M55" s="18" t="str"/>
      <x:c r="N55" s="18" t="str"/>
      <x:c r="O55" s="18" t="str"/>
      <x:c r="P55" s="30" t="n">
        <x:f>MAX(0,100-G55)</x:f>
        <x:v>86</x:v>
      </x:c>
      <x:c r="Q55" s="30" t="n">
        <x:f>MIN(100,ROUND(LOG10(D55+1)*18,0))</x:f>
        <x:v>19</x:v>
      </x:c>
      <x:c r="R55" s="30" t="n">
        <x:f>MIN(100,ROUND(E55*12,0))</x:f>
        <x:v>0</x:v>
      </x:c>
      <x:c r="S55" s="30" t="n">
        <x:f>IF(H55="No",0,ROUND(P55*0.45+Q55*0.30+R55*0.15+IF(M55="Easy",10,IF(M55="Medium",6,2))+IF(N55="High",5,IF(N55="Medium",3,0)),1))</x:f>
        <x:v>0</x:v>
      </x:c>
      <x:c r="T55" s="14" t="str">
        <x:f>IF(H55="No","Exclude",IF(S55&gt;=70,"Priority 1",IF(S55&gt;=55,"Priority 2",IF(S55&gt;=40,"Priority 3","Low priority"))))</x:f>
        <x:v>Exclude</x:v>
      </x:c>
    </x:row>
    <x:row r="56">
      <x:c r="A56" s="14" t="n">
        <x:v>55</x:v>
      </x:c>
      <x:c r="B56" s="18" t="str">
        <x:v>calculator blox fruit</x:v>
      </x:c>
      <x:c r="C56" s="18" t="str">
        <x:v>informational, transactional</x:v>
      </x:c>
      <x:c r="D56" s="26" t="n">
        <x:v>1300</x:v>
      </x:c>
      <x:c r="E56" s="28" t="n">
        <x:v>0</x:v>
      </x:c>
      <x:c r="F56" s="14" t="n">
        <x:v>1</x:v>
      </x:c>
      <x:c r="G56" s="14" t="n">
        <x:v>15</x:v>
      </x:c>
      <x:c r="H56" s="14" t="str">
        <x:v>Maybe</x:v>
      </x:c>
      <x:c r="I56" s="18" t="str">
        <x:v>Insufficiently specific; requires SERP validation before development</x:v>
      </x:c>
      <x:c r="J56" s="18" t="str">
        <x:v>General / Other</x:v>
      </x:c>
      <x:c r="K56" s="18" t="str">
        <x:v>Blox Fruit calculator</x:v>
      </x:c>
      <x:c r="L56" s="18" t="n">
        <x:v>1</x:v>
      </x:c>
      <x:c r="M56" s="18" t="str">
        <x:v>Easy</x:v>
      </x:c>
      <x:c r="N56" s="18" t="str">
        <x:v>Medium</x:v>
      </x:c>
      <x:c r="O56" s="18" t="str">
        <x:v>Ads</x:v>
      </x:c>
      <x:c r="P56" s="30" t="n">
        <x:f>MAX(0,100-G56)</x:f>
        <x:v>85</x:v>
      </x:c>
      <x:c r="Q56" s="30" t="n">
        <x:f>MIN(100,ROUND(LOG10(D56+1)*18,0))</x:f>
        <x:v>56</x:v>
      </x:c>
      <x:c r="R56" s="30" t="n">
        <x:f>MIN(100,ROUND(E56*12,0))</x:f>
        <x:v>0</x:v>
      </x:c>
      <x:c r="S56" s="30" t="n">
        <x:f>IF(H56="No",0,ROUND(P56*0.45+Q56*0.30+R56*0.15+IF(M56="Easy",10,IF(M56="Medium",6,2))+IF(N56="High",5,IF(N56="Medium",3,0)),1))</x:f>
        <x:v>68.1</x:v>
      </x:c>
      <x:c r="T56" s="14" t="str">
        <x:f>IF(H56="No","Exclude",IF(S56&gt;=70,"Priority 1",IF(S56&gt;=55,"Priority 2",IF(S56&gt;=40,"Priority 3","Low priority"))))</x:f>
        <x:v>Priority 2</x:v>
      </x:c>
    </x:row>
    <x:row r="57">
      <x:c r="A57" s="14" t="n">
        <x:v>56</x:v>
      </x:c>
      <x:c r="B57" s="18" t="str">
        <x:v>calculator extra mortgage payments</x:v>
      </x:c>
      <x:c r="C57" s="18" t="str">
        <x:v>null</x:v>
      </x:c>
      <x:c r="D57" s="26" t="n">
        <x:v>33100</x:v>
      </x:c>
      <x:c r="E57" s="28" t="n">
        <x:v>1.37</x:v>
      </x:c>
      <x:c r="F57" s="14" t="n">
        <x:v>6</x:v>
      </x:c>
      <x:c r="G57" s="14" t="n">
        <x:v>16</x:v>
      </x:c>
      <x:c r="H57" s="14" t="str">
        <x:v>Yes</x:v>
      </x:c>
      <x:c r="I57" s="18" t="str">
        <x:v>Clear calculation, conversion, estimation, or formula intent</x:v>
      </x:c>
      <x:c r="J57" s="18" t="str">
        <x:v>Mortgage &amp; Real Estate</x:v>
      </x:c>
      <x:c r="K57" s="18" t="str">
        <x:v>Mortgage payment calculator</x:v>
      </x:c>
      <x:c r="L57" s="18" t="n">
        <x:v>7</x:v>
      </x:c>
      <x:c r="M57" s="18" t="str">
        <x:v>Medium</x:v>
      </x:c>
      <x:c r="N57" s="18" t="str">
        <x:v>High</x:v>
      </x:c>
      <x:c r="O57" s="18" t="str">
        <x:v>Leads / Ads / Affiliate</x:v>
      </x:c>
      <x:c r="P57" s="30" t="n">
        <x:f>MAX(0,100-G57)</x:f>
        <x:v>84</x:v>
      </x:c>
      <x:c r="Q57" s="30" t="n">
        <x:f>MIN(100,ROUND(LOG10(D57+1)*18,0))</x:f>
        <x:v>81</x:v>
      </x:c>
      <x:c r="R57" s="30" t="n">
        <x:f>MIN(100,ROUND(E57*12,0))</x:f>
        <x:v>16</x:v>
      </x:c>
      <x:c r="S57" s="30" t="n">
        <x:f>IF(H57="No",0,ROUND(P57*0.45+Q57*0.30+R57*0.15+IF(M57="Easy",10,IF(M57="Medium",6,2))+IF(N57="High",5,IF(N57="Medium",3,0)),1))</x:f>
        <x:v>75.5</x:v>
      </x:c>
      <x:c r="T57" s="14" t="str">
        <x:f>IF(H57="No","Exclude",IF(S57&gt;=70,"Priority 1",IF(S57&gt;=55,"Priority 2",IF(S57&gt;=40,"Priority 3","Low priority"))))</x:f>
        <x:v>Priority 1</x:v>
      </x:c>
    </x:row>
    <x:row r="58">
      <x:c r="A58" s="14" t="n">
        <x:v>57</x:v>
      </x:c>
      <x:c r="B58" s="18" t="str">
        <x:v>calculator exchange rate</x:v>
      </x:c>
      <x:c r="C58" s="18" t="str">
        <x:v>informational</x:v>
      </x:c>
      <x:c r="D58" s="26" t="n">
        <x:v>6600</x:v>
      </x:c>
      <x:c r="E58" s="28" t="n">
        <x:v>0.36</x:v>
      </x:c>
      <x:c r="F58" s="14" t="n">
        <x:v>4</x:v>
      </x:c>
      <x:c r="G58" s="14" t="n">
        <x:v>16</x:v>
      </x:c>
      <x:c r="H58" s="14" t="str">
        <x:v>Maybe</x:v>
      </x:c>
      <x:c r="I58" s="18" t="str">
        <x:v>Insufficiently specific; requires SERP validation before development</x:v>
      </x:c>
      <x:c r="J58" s="18" t="str">
        <x:v>General / Other</x:v>
      </x:c>
      <x:c r="K58" s="18" t="str">
        <x:v>Exchange Rate calculator</x:v>
      </x:c>
      <x:c r="L58" s="18" t="n">
        <x:v>1</x:v>
      </x:c>
      <x:c r="M58" s="18" t="str">
        <x:v>Easy</x:v>
      </x:c>
      <x:c r="N58" s="18" t="str">
        <x:v>Medium</x:v>
      </x:c>
      <x:c r="O58" s="18" t="str">
        <x:v>Ads</x:v>
      </x:c>
      <x:c r="P58" s="30" t="n">
        <x:f>MAX(0,100-G58)</x:f>
        <x:v>84</x:v>
      </x:c>
      <x:c r="Q58" s="30" t="n">
        <x:f>MIN(100,ROUND(LOG10(D58+1)*18,0))</x:f>
        <x:v>69</x:v>
      </x:c>
      <x:c r="R58" s="30" t="n">
        <x:f>MIN(100,ROUND(E58*12,0))</x:f>
        <x:v>4</x:v>
      </x:c>
      <x:c r="S58" s="30" t="n">
        <x:f>IF(H58="No",0,ROUND(P58*0.45+Q58*0.30+R58*0.15+IF(M58="Easy",10,IF(M58="Medium",6,2))+IF(N58="High",5,IF(N58="Medium",3,0)),1))</x:f>
        <x:v>72.1</x:v>
      </x:c>
      <x:c r="T58" s="14" t="str">
        <x:f>IF(H58="No","Exclude",IF(S58&gt;=70,"Priority 1",IF(S58&gt;=55,"Priority 2",IF(S58&gt;=40,"Priority 3","Low priority"))))</x:f>
        <x:v>Priority 1</x:v>
      </x:c>
    </x:row>
    <x:row r="59">
      <x:c r="A59" s="14" t="n">
        <x:v>58</x:v>
      </x:c>
      <x:c r="B59" s="18" t="str">
        <x:v>calculator evolution</x:v>
      </x:c>
      <x:c r="C59" s="18" t="str">
        <x:v>navigational, informational</x:v>
      </x:c>
      <x:c r="D59" s="26" t="n">
        <x:v>2400</x:v>
      </x:c>
      <x:c r="E59" s="28" t="n">
        <x:v>0</x:v>
      </x:c>
      <x:c r="F59" s="14" t="n">
        <x:v>1</x:v>
      </x:c>
      <x:c r="G59" s="14" t="n">
        <x:v>16</x:v>
      </x:c>
      <x:c r="H59" s="14" t="str">
        <x:v>Maybe</x:v>
      </x:c>
      <x:c r="I59" s="18" t="str">
        <x:v>Insufficiently specific; requires SERP validation before development</x:v>
      </x:c>
      <x:c r="J59" s="18" t="str">
        <x:v>General / Other</x:v>
      </x:c>
      <x:c r="K59" s="18" t="str">
        <x:v>Evolution calculator</x:v>
      </x:c>
      <x:c r="L59" s="18" t="n">
        <x:v>1</x:v>
      </x:c>
      <x:c r="M59" s="18" t="str">
        <x:v>Easy</x:v>
      </x:c>
      <x:c r="N59" s="18" t="str">
        <x:v>Medium</x:v>
      </x:c>
      <x:c r="O59" s="18" t="str">
        <x:v>Ads</x:v>
      </x:c>
      <x:c r="P59" s="30" t="n">
        <x:f>MAX(0,100-G59)</x:f>
        <x:v>84</x:v>
      </x:c>
      <x:c r="Q59" s="30" t="n">
        <x:f>MIN(100,ROUND(LOG10(D59+1)*18,0))</x:f>
        <x:v>61</x:v>
      </x:c>
      <x:c r="R59" s="30" t="n">
        <x:f>MIN(100,ROUND(E59*12,0))</x:f>
        <x:v>0</x:v>
      </x:c>
      <x:c r="S59" s="30" t="n">
        <x:f>IF(H59="No",0,ROUND(P59*0.45+Q59*0.30+R59*0.15+IF(M59="Easy",10,IF(M59="Medium",6,2))+IF(N59="High",5,IF(N59="Medium",3,0)),1))</x:f>
        <x:v>69.1</x:v>
      </x:c>
      <x:c r="T59" s="14" t="str">
        <x:f>IF(H59="No","Exclude",IF(S59&gt;=70,"Priority 1",IF(S59&gt;=55,"Priority 2",IF(S59&gt;=40,"Priority 3","Low priority"))))</x:f>
        <x:v>Priority 2</x:v>
      </x:c>
    </x:row>
    <x:row r="60">
      <x:c r="A60" s="14" t="n">
        <x:v>59</x:v>
      </x:c>
      <x:c r="B60" s="18" t="str">
        <x:v>calculator peptide</x:v>
      </x:c>
      <x:c r="C60" s="18" t="str">
        <x:v>transactional, informational</x:v>
      </x:c>
      <x:c r="D60" s="26" t="n">
        <x:v>210</x:v>
      </x:c>
      <x:c r="E60" s="28" t="n">
        <x:v>0.57</x:v>
      </x:c>
      <x:c r="F60" s="14" t="n">
        <x:v>3</x:v>
      </x:c>
      <x:c r="G60" s="14" t="n">
        <x:v>17</x:v>
      </x:c>
      <x:c r="H60" s="14" t="str">
        <x:v>Maybe</x:v>
      </x:c>
      <x:c r="I60" s="18" t="str">
        <x:v>Insufficiently specific; requires SERP validation before development</x:v>
      </x:c>
      <x:c r="J60" s="18" t="str">
        <x:v>General / Other</x:v>
      </x:c>
      <x:c r="K60" s="18" t="str">
        <x:v>Peptide calculator</x:v>
      </x:c>
      <x:c r="L60" s="18" t="n">
        <x:v>1</x:v>
      </x:c>
      <x:c r="M60" s="18" t="str">
        <x:v>Easy</x:v>
      </x:c>
      <x:c r="N60" s="18" t="str">
        <x:v>Medium</x:v>
      </x:c>
      <x:c r="O60" s="18" t="str">
        <x:v>Ads</x:v>
      </x:c>
      <x:c r="P60" s="30" t="n">
        <x:f>MAX(0,100-G60)</x:f>
        <x:v>83</x:v>
      </x:c>
      <x:c r="Q60" s="30" t="n">
        <x:f>MIN(100,ROUND(LOG10(D60+1)*18,0))</x:f>
        <x:v>42</x:v>
      </x:c>
      <x:c r="R60" s="30" t="n">
        <x:f>MIN(100,ROUND(E60*12,0))</x:f>
        <x:v>7</x:v>
      </x:c>
      <x:c r="S60" s="30" t="n">
        <x:f>IF(H60="No",0,ROUND(P60*0.45+Q60*0.30+R60*0.15+IF(M60="Easy",10,IF(M60="Medium",6,2))+IF(N60="High",5,IF(N60="Medium",3,0)),1))</x:f>
        <x:v>64</x:v>
      </x:c>
      <x:c r="T60" s="14" t="str">
        <x:f>IF(H60="No","Exclude",IF(S60&gt;=70,"Priority 1",IF(S60&gt;=55,"Priority 2",IF(S60&gt;=40,"Priority 3","Low priority"))))</x:f>
        <x:v>Priority 2</x:v>
      </x:c>
    </x:row>
    <x:row r="61">
      <x:c r="A61" s="14" t="n">
        <x:v>60</x:v>
      </x:c>
      <x:c r="B61" s="18" t="str">
        <x:v>calculator for peptides</x:v>
      </x:c>
      <x:c r="C61" s="18" t="str">
        <x:v>transactional</x:v>
      </x:c>
      <x:c r="D61" s="26" t="n">
        <x:v>90</x:v>
      </x:c>
      <x:c r="E61" s="28" t="n">
        <x:v>0.13</x:v>
      </x:c>
      <x:c r="F61" s="14" t="n">
        <x:v>4</x:v>
      </x:c>
      <x:c r="G61" s="14" t="n">
        <x:v>17</x:v>
      </x:c>
      <x:c r="H61" s="14" t="str">
        <x:v>Maybe</x:v>
      </x:c>
      <x:c r="I61" s="18" t="str">
        <x:v>Insufficiently specific; requires SERP validation before development</x:v>
      </x:c>
      <x:c r="J61" s="18" t="str">
        <x:v>General / Other</x:v>
      </x:c>
      <x:c r="K61" s="18" t="str">
        <x:v>Peptides calculator</x:v>
      </x:c>
      <x:c r="L61" s="18" t="n">
        <x:v>1</x:v>
      </x:c>
      <x:c r="M61" s="18" t="str">
        <x:v>Easy</x:v>
      </x:c>
      <x:c r="N61" s="18" t="str">
        <x:v>Medium</x:v>
      </x:c>
      <x:c r="O61" s="18" t="str">
        <x:v>Ads</x:v>
      </x:c>
      <x:c r="P61" s="30" t="n">
        <x:f>MAX(0,100-G61)</x:f>
        <x:v>83</x:v>
      </x:c>
      <x:c r="Q61" s="30" t="n">
        <x:f>MIN(100,ROUND(LOG10(D61+1)*18,0))</x:f>
        <x:v>35</x:v>
      </x:c>
      <x:c r="R61" s="30" t="n">
        <x:f>MIN(100,ROUND(E61*12,0))</x:f>
        <x:v>2</x:v>
      </x:c>
      <x:c r="S61" s="30" t="n">
        <x:f>IF(H61="No",0,ROUND(P61*0.45+Q61*0.30+R61*0.15+IF(M61="Easy",10,IF(M61="Medium",6,2))+IF(N61="High",5,IF(N61="Medium",3,0)),1))</x:f>
        <x:v>61.2</x:v>
      </x:c>
      <x:c r="T61" s="14" t="str">
        <x:f>IF(H61="No","Exclude",IF(S61&gt;=70,"Priority 1",IF(S61&gt;=55,"Priority 2",IF(S61&gt;=40,"Priority 3","Low priority"))))</x:f>
        <x:v>Priority 2</x:v>
      </x:c>
    </x:row>
    <x:row r="62">
      <x:c r="A62" s="14" t="n">
        <x:v>61</x:v>
      </x:c>
      <x:c r="B62" s="18" t="str">
        <x:v>calculator 0000</x:v>
      </x:c>
      <x:c r="C62" s="18" t="str">
        <x:v>null</x:v>
      </x:c>
      <x:c r="D62" s="26" t="n">
        <x:v>0</x:v>
      </x:c>
      <x:c r="E62" s="28" t="n">
        <x:v>0</x:v>
      </x:c>
      <x:c r="F62" s="14" t="n">
        <x:v>1</x:v>
      </x:c>
      <x:c r="G62" s="14" t="n">
        <x:v>17</x:v>
      </x:c>
      <x:c r="H62" s="14" t="str">
        <x:v>No</x:v>
      </x:c>
      <x:c r="I62" s="18" t="str">
        <x:v>Model/number query, not a distinct web calculator</x:v>
      </x:c>
      <x:c r="J62" s="18" t="str">
        <x:v>Excluded / Non-calculator</x:v>
      </x:c>
      <x:c r="K62" s="18" t="str"/>
      <x:c r="L62" s="18" t="n">
        <x:v>0</x:v>
      </x:c>
      <x:c r="M62" s="18" t="str"/>
      <x:c r="N62" s="18" t="str"/>
      <x:c r="O62" s="18" t="str"/>
      <x:c r="P62" s="30" t="n">
        <x:f>MAX(0,100-G62)</x:f>
        <x:v>83</x:v>
      </x:c>
      <x:c r="Q62" s="30" t="n">
        <x:f>MIN(100,ROUND(LOG10(D62+1)*18,0))</x:f>
        <x:v>0</x:v>
      </x:c>
      <x:c r="R62" s="30" t="n">
        <x:f>MIN(100,ROUND(E62*12,0))</x:f>
        <x:v>0</x:v>
      </x:c>
      <x:c r="S62" s="30" t="n">
        <x:f>IF(H62="No",0,ROUND(P62*0.45+Q62*0.30+R62*0.15+IF(M62="Easy",10,IF(M62="Medium",6,2))+IF(N62="High",5,IF(N62="Medium",3,0)),1))</x:f>
        <x:v>0</x:v>
      </x:c>
      <x:c r="T62" s="14" t="str">
        <x:f>IF(H62="No","Exclude",IF(S62&gt;=70,"Priority 1",IF(S62&gt;=55,"Priority 2",IF(S62&gt;=40,"Priority 3","Low priority"))))</x:f>
        <x:v>Exclude</x:v>
      </x:c>
    </x:row>
    <x:row r="63">
      <x:c r="A63" s="14" t="n">
        <x:v>62</x:v>
      </x:c>
      <x:c r="B63" s="18" t="str">
        <x:v>calculator 07734</x:v>
      </x:c>
      <x:c r="C63" s="18" t="str">
        <x:v>null</x:v>
      </x:c>
      <x:c r="D63" s="26" t="n">
        <x:v>0</x:v>
      </x:c>
      <x:c r="E63" s="28" t="n">
        <x:v>0</x:v>
      </x:c>
      <x:c r="F63" s="14" t="n">
        <x:v>1</x:v>
      </x:c>
      <x:c r="G63" s="14" t="n">
        <x:v>17</x:v>
      </x:c>
      <x:c r="H63" s="14" t="str">
        <x:v>No</x:v>
      </x:c>
      <x:c r="I63" s="18" t="str">
        <x:v>Model/number query, not a distinct web calculator</x:v>
      </x:c>
      <x:c r="J63" s="18" t="str">
        <x:v>Excluded / Non-calculator</x:v>
      </x:c>
      <x:c r="K63" s="18" t="str"/>
      <x:c r="L63" s="18" t="n">
        <x:v>0</x:v>
      </x:c>
      <x:c r="M63" s="18" t="str"/>
      <x:c r="N63" s="18" t="str"/>
      <x:c r="O63" s="18" t="str"/>
      <x:c r="P63" s="30" t="n">
        <x:f>MAX(0,100-G63)</x:f>
        <x:v>83</x:v>
      </x:c>
      <x:c r="Q63" s="30" t="n">
        <x:f>MIN(100,ROUND(LOG10(D63+1)*18,0))</x:f>
        <x:v>0</x:v>
      </x:c>
      <x:c r="R63" s="30" t="n">
        <x:f>MIN(100,ROUND(E63*12,0))</x:f>
        <x:v>0</x:v>
      </x:c>
      <x:c r="S63" s="30" t="n">
        <x:f>IF(H63="No",0,ROUND(P63*0.45+Q63*0.30+R63*0.15+IF(M63="Easy",10,IF(M63="Medium",6,2))+IF(N63="High",5,IF(N63="Medium",3,0)),1))</x:f>
        <x:v>0</x:v>
      </x:c>
      <x:c r="T63" s="14" t="str">
        <x:f>IF(H63="No","Exclude",IF(S63&gt;=70,"Priority 1",IF(S63&gt;=55,"Priority 2",IF(S63&gt;=40,"Priority 3","Low priority"))))</x:f>
        <x:v>Exclude</x:v>
      </x:c>
    </x:row>
    <x:row r="64">
      <x:c r="A64" s="14" t="n">
        <x:v>63</x:v>
      </x:c>
      <x:c r="B64" s="18" t="str">
        <x:v>calculator 05</x:v>
      </x:c>
      <x:c r="C64" s="18" t="str">
        <x:v>null</x:v>
      </x:c>
      <x:c r="D64" s="26" t="n">
        <x:v>0</x:v>
      </x:c>
      <x:c r="E64" s="28" t="n">
        <x:v>0</x:v>
      </x:c>
      <x:c r="F64" s="14" t="n">
        <x:v>1</x:v>
      </x:c>
      <x:c r="G64" s="14" t="n">
        <x:v>17</x:v>
      </x:c>
      <x:c r="H64" s="14" t="str">
        <x:v>No</x:v>
      </x:c>
      <x:c r="I64" s="18" t="str">
        <x:v>Model/number query, not a distinct web calculator</x:v>
      </x:c>
      <x:c r="J64" s="18" t="str">
        <x:v>Excluded / Non-calculator</x:v>
      </x:c>
      <x:c r="K64" s="18" t="str"/>
      <x:c r="L64" s="18" t="n">
        <x:v>0</x:v>
      </x:c>
      <x:c r="M64" s="18" t="str"/>
      <x:c r="N64" s="18" t="str"/>
      <x:c r="O64" s="18" t="str"/>
      <x:c r="P64" s="30" t="n">
        <x:f>MAX(0,100-G64)</x:f>
        <x:v>83</x:v>
      </x:c>
      <x:c r="Q64" s="30" t="n">
        <x:f>MIN(100,ROUND(LOG10(D64+1)*18,0))</x:f>
        <x:v>0</x:v>
      </x:c>
      <x:c r="R64" s="30" t="n">
        <x:f>MIN(100,ROUND(E64*12,0))</x:f>
        <x:v>0</x:v>
      </x:c>
      <x:c r="S64" s="30" t="n">
        <x:f>IF(H64="No",0,ROUND(P64*0.45+Q64*0.30+R64*0.15+IF(M64="Easy",10,IF(M64="Medium",6,2))+IF(N64="High",5,IF(N64="Medium",3,0)),1))</x:f>
        <x:v>0</x:v>
      </x:c>
      <x:c r="T64" s="14" t="str">
        <x:f>IF(H64="No","Exclude",IF(S64&gt;=70,"Priority 1",IF(S64&gt;=55,"Priority 2",IF(S64&gt;=40,"Priority 3","Low priority"))))</x:f>
        <x:v>Exclude</x:v>
      </x:c>
    </x:row>
    <x:row r="65">
      <x:c r="A65" s="14" t="n">
        <x:v>64</x:v>
      </x:c>
      <x:c r="B65" s="18" t="str">
        <x:v>calculator 2026</x:v>
      </x:c>
      <x:c r="C65" s="18" t="str">
        <x:v>null</x:v>
      </x:c>
      <x:c r="D65" s="26" t="n">
        <x:v>0</x:v>
      </x:c>
      <x:c r="E65" s="28" t="n">
        <x:v>0</x:v>
      </x:c>
      <x:c r="F65" s="14" t="n">
        <x:v>1</x:v>
      </x:c>
      <x:c r="G65" s="14" t="n">
        <x:v>17</x:v>
      </x:c>
      <x:c r="H65" s="14" t="str">
        <x:v>No</x:v>
      </x:c>
      <x:c r="I65" s="18" t="str">
        <x:v>Model/number query, not a distinct web calculator</x:v>
      </x:c>
      <x:c r="J65" s="18" t="str">
        <x:v>Excluded / Non-calculator</x:v>
      </x:c>
      <x:c r="K65" s="18" t="str"/>
      <x:c r="L65" s="18" t="n">
        <x:v>0</x:v>
      </x:c>
      <x:c r="M65" s="18" t="str"/>
      <x:c r="N65" s="18" t="str"/>
      <x:c r="O65" s="18" t="str"/>
      <x:c r="P65" s="30" t="n">
        <x:f>MAX(0,100-G65)</x:f>
        <x:v>83</x:v>
      </x:c>
      <x:c r="Q65" s="30" t="n">
        <x:f>MIN(100,ROUND(LOG10(D65+1)*18,0))</x:f>
        <x:v>0</x:v>
      </x:c>
      <x:c r="R65" s="30" t="n">
        <x:f>MIN(100,ROUND(E65*12,0))</x:f>
        <x:v>0</x:v>
      </x:c>
      <x:c r="S65" s="30" t="n">
        <x:f>IF(H65="No",0,ROUND(P65*0.45+Q65*0.30+R65*0.15+IF(M65="Easy",10,IF(M65="Medium",6,2))+IF(N65="High",5,IF(N65="Medium",3,0)),1))</x:f>
        <x:v>0</x:v>
      </x:c>
      <x:c r="T65" s="14" t="str">
        <x:f>IF(H65="No","Exclude",IF(S65&gt;=70,"Priority 1",IF(S65&gt;=55,"Priority 2",IF(S65&gt;=40,"Priority 3","Low priority"))))</x:f>
        <x:v>Exclude</x:v>
      </x:c>
    </x:row>
    <x:row r="66">
      <x:c r="A66" s="14" t="n">
        <x:v>65</x:v>
      </x:c>
      <x:c r="B66" s="18" t="str">
        <x:v>calculator 2027</x:v>
      </x:c>
      <x:c r="C66" s="18" t="str">
        <x:v>null</x:v>
      </x:c>
      <x:c r="D66" s="26" t="n">
        <x:v>0</x:v>
      </x:c>
      <x:c r="E66" s="28" t="n">
        <x:v>0</x:v>
      </x:c>
      <x:c r="F66" s="14" t="n">
        <x:v>1</x:v>
      </x:c>
      <x:c r="G66" s="14" t="n">
        <x:v>17</x:v>
      </x:c>
      <x:c r="H66" s="14" t="str">
        <x:v>No</x:v>
      </x:c>
      <x:c r="I66" s="18" t="str">
        <x:v>Model/number query, not a distinct web calculator</x:v>
      </x:c>
      <x:c r="J66" s="18" t="str">
        <x:v>Excluded / Non-calculator</x:v>
      </x:c>
      <x:c r="K66" s="18" t="str"/>
      <x:c r="L66" s="18" t="n">
        <x:v>0</x:v>
      </x:c>
      <x:c r="M66" s="18" t="str"/>
      <x:c r="N66" s="18" t="str"/>
      <x:c r="O66" s="18" t="str"/>
      <x:c r="P66" s="30" t="n">
        <x:f>MAX(0,100-G66)</x:f>
        <x:v>83</x:v>
      </x:c>
      <x:c r="Q66" s="30" t="n">
        <x:f>MIN(100,ROUND(LOG10(D66+1)*18,0))</x:f>
        <x:v>0</x:v>
      </x:c>
      <x:c r="R66" s="30" t="n">
        <x:f>MIN(100,ROUND(E66*12,0))</x:f>
        <x:v>0</x:v>
      </x:c>
      <x:c r="S66" s="30" t="n">
        <x:f>IF(H66="No",0,ROUND(P66*0.45+Q66*0.30+R66*0.15+IF(M66="Easy",10,IF(M66="Medium",6,2))+IF(N66="High",5,IF(N66="Medium",3,0)),1))</x:f>
        <x:v>0</x:v>
      </x:c>
      <x:c r="T66" s="14" t="str">
        <x:f>IF(H66="No","Exclude",IF(S66&gt;=70,"Priority 1",IF(S66&gt;=55,"Priority 2",IF(S66&gt;=40,"Priority 3","Low priority"))))</x:f>
        <x:v>Exclude</x:v>
      </x:c>
    </x:row>
    <x:row r="67">
      <x:c r="A67" s="14" t="n">
        <x:v>66</x:v>
      </x:c>
      <x:c r="B67" s="18" t="str">
        <x:v>calculator 401</x:v>
      </x:c>
      <x:c r="C67" s="18" t="str">
        <x:v>null</x:v>
      </x:c>
      <x:c r="D67" s="26" t="n">
        <x:v>0</x:v>
      </x:c>
      <x:c r="E67" s="28" t="n">
        <x:v>0</x:v>
      </x:c>
      <x:c r="F67" s="14" t="n">
        <x:v>1</x:v>
      </x:c>
      <x:c r="G67" s="14" t="n">
        <x:v>17</x:v>
      </x:c>
      <x:c r="H67" s="14" t="str">
        <x:v>No</x:v>
      </x:c>
      <x:c r="I67" s="18" t="str">
        <x:v>Model/number query, not a distinct web calculator</x:v>
      </x:c>
      <x:c r="J67" s="18" t="str">
        <x:v>Excluded / Non-calculator</x:v>
      </x:c>
      <x:c r="K67" s="18" t="str"/>
      <x:c r="L67" s="18" t="n">
        <x:v>0</x:v>
      </x:c>
      <x:c r="M67" s="18" t="str"/>
      <x:c r="N67" s="18" t="str"/>
      <x:c r="O67" s="18" t="str"/>
      <x:c r="P67" s="30" t="n">
        <x:f>MAX(0,100-G67)</x:f>
        <x:v>83</x:v>
      </x:c>
      <x:c r="Q67" s="30" t="n">
        <x:f>MIN(100,ROUND(LOG10(D67+1)*18,0))</x:f>
        <x:v>0</x:v>
      </x:c>
      <x:c r="R67" s="30" t="n">
        <x:f>MIN(100,ROUND(E67*12,0))</x:f>
        <x:v>0</x:v>
      </x:c>
      <x:c r="S67" s="30" t="n">
        <x:f>IF(H67="No",0,ROUND(P67*0.45+Q67*0.30+R67*0.15+IF(M67="Easy",10,IF(M67="Medium",6,2))+IF(N67="High",5,IF(N67="Medium",3,0)),1))</x:f>
        <x:v>0</x:v>
      </x:c>
      <x:c r="T67" s="14" t="str">
        <x:f>IF(H67="No","Exclude",IF(S67&gt;=70,"Priority 1",IF(S67&gt;=55,"Priority 2",IF(S67&gt;=40,"Priority 3","Low priority"))))</x:f>
        <x:v>Exclude</x:v>
      </x:c>
    </x:row>
    <x:row r="68">
      <x:c r="A68" s="14" t="n">
        <x:v>67</x:v>
      </x:c>
      <x:c r="B68" s="18" t="str">
        <x:v>calculator 407</x:v>
      </x:c>
      <x:c r="C68" s="18" t="str">
        <x:v>null</x:v>
      </x:c>
      <x:c r="D68" s="26" t="n">
        <x:v>0</x:v>
      </x:c>
      <x:c r="E68" s="28" t="n">
        <x:v>0</x:v>
      </x:c>
      <x:c r="F68" s="14" t="n">
        <x:v>1</x:v>
      </x:c>
      <x:c r="G68" s="14" t="n">
        <x:v>17</x:v>
      </x:c>
      <x:c r="H68" s="14" t="str">
        <x:v>No</x:v>
      </x:c>
      <x:c r="I68" s="18" t="str">
        <x:v>Model/number query, not a distinct web calculator</x:v>
      </x:c>
      <x:c r="J68" s="18" t="str">
        <x:v>Excluded / Non-calculator</x:v>
      </x:c>
      <x:c r="K68" s="18" t="str"/>
      <x:c r="L68" s="18" t="n">
        <x:v>0</x:v>
      </x:c>
      <x:c r="M68" s="18" t="str"/>
      <x:c r="N68" s="18" t="str"/>
      <x:c r="O68" s="18" t="str"/>
      <x:c r="P68" s="30" t="n">
        <x:f>MAX(0,100-G68)</x:f>
        <x:v>83</x:v>
      </x:c>
      <x:c r="Q68" s="30" t="n">
        <x:f>MIN(100,ROUND(LOG10(D68+1)*18,0))</x:f>
        <x:v>0</x:v>
      </x:c>
      <x:c r="R68" s="30" t="n">
        <x:f>MIN(100,ROUND(E68*12,0))</x:f>
        <x:v>0</x:v>
      </x:c>
      <x:c r="S68" s="30" t="n">
        <x:f>IF(H68="No",0,ROUND(P68*0.45+Q68*0.30+R68*0.15+IF(M68="Easy",10,IF(M68="Medium",6,2))+IF(N68="High",5,IF(N68="Medium",3,0)),1))</x:f>
        <x:v>0</x:v>
      </x:c>
      <x:c r="T68" s="14" t="str">
        <x:f>IF(H68="No","Exclude",IF(S68&gt;=70,"Priority 1",IF(S68&gt;=55,"Priority 2",IF(S68&gt;=40,"Priority 3","Low priority"))))</x:f>
        <x:v>Exclude</x:v>
      </x:c>
    </x:row>
    <x:row r="69">
      <x:c r="A69" s="14" t="n">
        <x:v>68</x:v>
      </x:c>
      <x:c r="B69" s="18" t="str">
        <x:v>calculator 6mwt</x:v>
      </x:c>
      <x:c r="C69" s="18" t="str">
        <x:v>null</x:v>
      </x:c>
      <x:c r="D69" s="26" t="n">
        <x:v>0</x:v>
      </x:c>
      <x:c r="E69" s="28" t="n">
        <x:v>0</x:v>
      </x:c>
      <x:c r="F69" s="14" t="n">
        <x:v>1</x:v>
      </x:c>
      <x:c r="G69" s="14" t="n">
        <x:v>17</x:v>
      </x:c>
      <x:c r="H69" s="14" t="str">
        <x:v>No</x:v>
      </x:c>
      <x:c r="I69" s="18" t="str">
        <x:v>No measurable volume and no clear calculator-specific intent</x:v>
      </x:c>
      <x:c r="J69" s="18" t="str">
        <x:v>Excluded / Non-calculator</x:v>
      </x:c>
      <x:c r="K69" s="18" t="str"/>
      <x:c r="L69" s="18" t="n">
        <x:v>0</x:v>
      </x:c>
      <x:c r="M69" s="18" t="str"/>
      <x:c r="N69" s="18" t="str"/>
      <x:c r="O69" s="18" t="str"/>
      <x:c r="P69" s="30" t="n">
        <x:f>MAX(0,100-G69)</x:f>
        <x:v>83</x:v>
      </x:c>
      <x:c r="Q69" s="30" t="n">
        <x:f>MIN(100,ROUND(LOG10(D69+1)*18,0))</x:f>
        <x:v>0</x:v>
      </x:c>
      <x:c r="R69" s="30" t="n">
        <x:f>MIN(100,ROUND(E69*12,0))</x:f>
        <x:v>0</x:v>
      </x:c>
      <x:c r="S69" s="30" t="n">
        <x:f>IF(H69="No",0,ROUND(P69*0.45+Q69*0.30+R69*0.15+IF(M69="Easy",10,IF(M69="Medium",6,2))+IF(N69="High",5,IF(N69="Medium",3,0)),1))</x:f>
        <x:v>0</x:v>
      </x:c>
      <x:c r="T69" s="14" t="str">
        <x:f>IF(H69="No","Exclude",IF(S69&gt;=70,"Priority 1",IF(S69&gt;=55,"Priority 2",IF(S69&gt;=40,"Priority 3","Low priority"))))</x:f>
        <x:v>Exclude</x:v>
      </x:c>
    </x:row>
    <x:row r="70">
      <x:c r="A70" s="14" t="n">
        <x:v>69</x:v>
      </x:c>
      <x:c r="B70" s="18" t="str">
        <x:v>calculator 7734</x:v>
      </x:c>
      <x:c r="C70" s="18" t="str">
        <x:v>null</x:v>
      </x:c>
      <x:c r="D70" s="26" t="n">
        <x:v>0</x:v>
      </x:c>
      <x:c r="E70" s="28" t="n">
        <x:v>0</x:v>
      </x:c>
      <x:c r="F70" s="14" t="n">
        <x:v>1</x:v>
      </x:c>
      <x:c r="G70" s="14" t="n">
        <x:v>17</x:v>
      </x:c>
      <x:c r="H70" s="14" t="str">
        <x:v>No</x:v>
      </x:c>
      <x:c r="I70" s="18" t="str">
        <x:v>Model/number query, not a distinct web calculator</x:v>
      </x:c>
      <x:c r="J70" s="18" t="str">
        <x:v>Excluded / Non-calculator</x:v>
      </x:c>
      <x:c r="K70" s="18" t="str"/>
      <x:c r="L70" s="18" t="n">
        <x:v>0</x:v>
      </x:c>
      <x:c r="M70" s="18" t="str"/>
      <x:c r="N70" s="18" t="str"/>
      <x:c r="O70" s="18" t="str"/>
      <x:c r="P70" s="30" t="n">
        <x:f>MAX(0,100-G70)</x:f>
        <x:v>83</x:v>
      </x:c>
      <x:c r="Q70" s="30" t="n">
        <x:f>MIN(100,ROUND(LOG10(D70+1)*18,0))</x:f>
        <x:v>0</x:v>
      </x:c>
      <x:c r="R70" s="30" t="n">
        <x:f>MIN(100,ROUND(E70*12,0))</x:f>
        <x:v>0</x:v>
      </x:c>
      <x:c r="S70" s="30" t="n">
        <x:f>IF(H70="No",0,ROUND(P70*0.45+Q70*0.30+R70*0.15+IF(M70="Easy",10,IF(M70="Medium",6,2))+IF(N70="High",5,IF(N70="Medium",3,0)),1))</x:f>
        <x:v>0</x:v>
      </x:c>
      <x:c r="T70" s="14" t="str">
        <x:f>IF(H70="No","Exclude",IF(S70&gt;=70,"Priority 1",IF(S70&gt;=55,"Priority 2",IF(S70&gt;=40,"Priority 3","Low priority"))))</x:f>
        <x:v>Exclude</x:v>
      </x:c>
    </x:row>
    <x:row r="71">
      <x:c r="A71" s="14" t="n">
        <x:v>70</x:v>
      </x:c>
      <x:c r="B71" s="18" t="str">
        <x:v>calculator 786n</x:v>
      </x:c>
      <x:c r="C71" s="18" t="str">
        <x:v>null</x:v>
      </x:c>
      <x:c r="D71" s="26" t="n">
        <x:v>0</x:v>
      </x:c>
      <x:c r="E71" s="28" t="n">
        <x:v>0</x:v>
      </x:c>
      <x:c r="F71" s="14" t="n">
        <x:v>1</x:v>
      </x:c>
      <x:c r="G71" s="14" t="n">
        <x:v>17</x:v>
      </x:c>
      <x:c r="H71" s="14" t="str">
        <x:v>No</x:v>
      </x:c>
      <x:c r="I71" s="18" t="str">
        <x:v>No measurable volume and no clear calculator-specific intent</x:v>
      </x:c>
      <x:c r="J71" s="18" t="str">
        <x:v>Excluded / Non-calculator</x:v>
      </x:c>
      <x:c r="K71" s="18" t="str"/>
      <x:c r="L71" s="18" t="n">
        <x:v>0</x:v>
      </x:c>
      <x:c r="M71" s="18" t="str"/>
      <x:c r="N71" s="18" t="str"/>
      <x:c r="O71" s="18" t="str"/>
      <x:c r="P71" s="30" t="n">
        <x:f>MAX(0,100-G71)</x:f>
        <x:v>83</x:v>
      </x:c>
      <x:c r="Q71" s="30" t="n">
        <x:f>MIN(100,ROUND(LOG10(D71+1)*18,0))</x:f>
        <x:v>0</x:v>
      </x:c>
      <x:c r="R71" s="30" t="n">
        <x:f>MIN(100,ROUND(E71*12,0))</x:f>
        <x:v>0</x:v>
      </x:c>
      <x:c r="S71" s="30" t="n">
        <x:f>IF(H71="No",0,ROUND(P71*0.45+Q71*0.30+R71*0.15+IF(M71="Easy",10,IF(M71="Medium",6,2))+IF(N71="High",5,IF(N71="Medium",3,0)),1))</x:f>
        <x:v>0</x:v>
      </x:c>
      <x:c r="T71" s="14" t="str">
        <x:f>IF(H71="No","Exclude",IF(S71&gt;=70,"Priority 1",IF(S71&gt;=55,"Priority 2",IF(S71&gt;=40,"Priority 3","Low priority"))))</x:f>
        <x:v>Exclude</x:v>
      </x:c>
    </x:row>
    <x:row r="72">
      <x:c r="A72" s="14" t="n">
        <x:v>71</x:v>
      </x:c>
      <x:c r="B72" s="18" t="str">
        <x:v>calculator 789sga</x:v>
      </x:c>
      <x:c r="C72" s="18" t="str">
        <x:v>null</x:v>
      </x:c>
      <x:c r="D72" s="26" t="n">
        <x:v>0</x:v>
      </x:c>
      <x:c r="E72" s="28" t="n">
        <x:v>0</x:v>
      </x:c>
      <x:c r="F72" s="14" t="n">
        <x:v>1</x:v>
      </x:c>
      <x:c r="G72" s="14" t="n">
        <x:v>17</x:v>
      </x:c>
      <x:c r="H72" s="14" t="str">
        <x:v>No</x:v>
      </x:c>
      <x:c r="I72" s="18" t="str">
        <x:v>No measurable volume and no clear calculator-specific intent</x:v>
      </x:c>
      <x:c r="J72" s="18" t="str">
        <x:v>Excluded / Non-calculator</x:v>
      </x:c>
      <x:c r="K72" s="18" t="str"/>
      <x:c r="L72" s="18" t="n">
        <x:v>0</x:v>
      </x:c>
      <x:c r="M72" s="18" t="str"/>
      <x:c r="N72" s="18" t="str"/>
      <x:c r="O72" s="18" t="str"/>
      <x:c r="P72" s="30" t="n">
        <x:f>MAX(0,100-G72)</x:f>
        <x:v>83</x:v>
      </x:c>
      <x:c r="Q72" s="30" t="n">
        <x:f>MIN(100,ROUND(LOG10(D72+1)*18,0))</x:f>
        <x:v>0</x:v>
      </x:c>
      <x:c r="R72" s="30" t="n">
        <x:f>MIN(100,ROUND(E72*12,0))</x:f>
        <x:v>0</x:v>
      </x:c>
      <x:c r="S72" s="30" t="n">
        <x:f>IF(H72="No",0,ROUND(P72*0.45+Q72*0.30+R72*0.15+IF(M72="Easy",10,IF(M72="Medium",6,2))+IF(N72="High",5,IF(N72="Medium",3,0)),1))</x:f>
        <x:v>0</x:v>
      </x:c>
      <x:c r="T72" s="14" t="str">
        <x:f>IF(H72="No","Exclude",IF(S72&gt;=70,"Priority 1",IF(S72&gt;=55,"Priority 2",IF(S72&gt;=40,"Priority 3","Low priority"))))</x:f>
        <x:v>Exclude</x:v>
      </x:c>
    </x:row>
    <x:row r="73">
      <x:c r="A73" s="14" t="n">
        <x:v>72</x:v>
      </x:c>
      <x:c r="B73" s="18" t="str">
        <x:v>calculator 991cw</x:v>
      </x:c>
      <x:c r="C73" s="18" t="str">
        <x:v>null</x:v>
      </x:c>
      <x:c r="D73" s="26" t="n">
        <x:v>0</x:v>
      </x:c>
      <x:c r="E73" s="28" t="n">
        <x:v>0</x:v>
      </x:c>
      <x:c r="F73" s="14" t="n">
        <x:v>1</x:v>
      </x:c>
      <x:c r="G73" s="14" t="n">
        <x:v>17</x:v>
      </x:c>
      <x:c r="H73" s="14" t="str">
        <x:v>No</x:v>
      </x:c>
      <x:c r="I73" s="18" t="str">
        <x:v>App/product/brand/navigation/media intent rather than a calculation</x:v>
      </x:c>
      <x:c r="J73" s="18" t="str">
        <x:v>Excluded / Non-calculator</x:v>
      </x:c>
      <x:c r="K73" s="18" t="str"/>
      <x:c r="L73" s="18" t="n">
        <x:v>0</x:v>
      </x:c>
      <x:c r="M73" s="18" t="str"/>
      <x:c r="N73" s="18" t="str"/>
      <x:c r="O73" s="18" t="str"/>
      <x:c r="P73" s="30" t="n">
        <x:f>MAX(0,100-G73)</x:f>
        <x:v>83</x:v>
      </x:c>
      <x:c r="Q73" s="30" t="n">
        <x:f>MIN(100,ROUND(LOG10(D73+1)*18,0))</x:f>
        <x:v>0</x:v>
      </x:c>
      <x:c r="R73" s="30" t="n">
        <x:f>MIN(100,ROUND(E73*12,0))</x:f>
        <x:v>0</x:v>
      </x:c>
      <x:c r="S73" s="30" t="n">
        <x:f>IF(H73="No",0,ROUND(P73*0.45+Q73*0.30+R73*0.15+IF(M73="Easy",10,IF(M73="Medium",6,2))+IF(N73="High",5,IF(N73="Medium",3,0)),1))</x:f>
        <x:v>0</x:v>
      </x:c>
      <x:c r="T73" s="14" t="str">
        <x:f>IF(H73="No","Exclude",IF(S73&gt;=70,"Priority 1",IF(S73&gt;=55,"Priority 2",IF(S73&gt;=40,"Priority 3","Low priority"))))</x:f>
        <x:v>Exclude</x:v>
      </x:c>
    </x:row>
    <x:row r="74">
      <x:c r="A74" s="14" t="n">
        <x:v>73</x:v>
      </x:c>
      <x:c r="B74" s="18" t="str">
        <x:v>calculator error</x:v>
      </x:c>
      <x:c r="C74" s="18" t="str">
        <x:v>null</x:v>
      </x:c>
      <x:c r="D74" s="26" t="n">
        <x:v>0</x:v>
      </x:c>
      <x:c r="E74" s="28" t="n">
        <x:v>0</x:v>
      </x:c>
      <x:c r="F74" s="14" t="n">
        <x:v>1</x:v>
      </x:c>
      <x:c r="G74" s="14" t="n">
        <x:v>17</x:v>
      </x:c>
      <x:c r="H74" s="14" t="str">
        <x:v>No</x:v>
      </x:c>
      <x:c r="I74" s="18" t="str">
        <x:v>No measurable volume and no clear calculator-specific intent</x:v>
      </x:c>
      <x:c r="J74" s="18" t="str">
        <x:v>Excluded / Non-calculator</x:v>
      </x:c>
      <x:c r="K74" s="18" t="str"/>
      <x:c r="L74" s="18" t="n">
        <x:v>0</x:v>
      </x:c>
      <x:c r="M74" s="18" t="str"/>
      <x:c r="N74" s="18" t="str"/>
      <x:c r="O74" s="18" t="str"/>
      <x:c r="P74" s="30" t="n">
        <x:f>MAX(0,100-G74)</x:f>
        <x:v>83</x:v>
      </x:c>
      <x:c r="Q74" s="30" t="n">
        <x:f>MIN(100,ROUND(LOG10(D74+1)*18,0))</x:f>
        <x:v>0</x:v>
      </x:c>
      <x:c r="R74" s="30" t="n">
        <x:f>MIN(100,ROUND(E74*12,0))</x:f>
        <x:v>0</x:v>
      </x:c>
      <x:c r="S74" s="30" t="n">
        <x:f>IF(H74="No",0,ROUND(P74*0.45+Q74*0.30+R74*0.15+IF(M74="Easy",10,IF(M74="Medium",6,2))+IF(N74="High",5,IF(N74="Medium",3,0)),1))</x:f>
        <x:v>0</x:v>
      </x:c>
      <x:c r="T74" s="14" t="str">
        <x:f>IF(H74="No","Exclude",IF(S74&gt;=70,"Priority 1",IF(S74&gt;=55,"Priority 2",IF(S74&gt;=40,"Priority 3","Low priority"))))</x:f>
        <x:v>Exclude</x:v>
      </x:c>
    </x:row>
    <x:row r="75">
      <x:c r="A75" s="14" t="n">
        <x:v>74</x:v>
      </x:c>
      <x:c r="B75" s="18" t="str">
        <x:v>calculator grade</x:v>
      </x:c>
      <x:c r="C75" s="18" t="str">
        <x:v>null</x:v>
      </x:c>
      <x:c r="D75" s="26" t="n">
        <x:v>0</x:v>
      </x:c>
      <x:c r="E75" s="28" t="n">
        <x:v>0</x:v>
      </x:c>
      <x:c r="F75" s="14" t="n">
        <x:v>1</x:v>
      </x:c>
      <x:c r="G75" s="14" t="n">
        <x:v>17</x:v>
      </x:c>
      <x:c r="H75" s="14" t="str">
        <x:v>No</x:v>
      </x:c>
      <x:c r="I75" s="18" t="str">
        <x:v>No measurable volume and no clear calculator-specific intent</x:v>
      </x:c>
      <x:c r="J75" s="18" t="str">
        <x:v>Excluded / Non-calculator</x:v>
      </x:c>
      <x:c r="K75" s="18" t="str"/>
      <x:c r="L75" s="18" t="n">
        <x:v>0</x:v>
      </x:c>
      <x:c r="M75" s="18" t="str"/>
      <x:c r="N75" s="18" t="str"/>
      <x:c r="O75" s="18" t="str"/>
      <x:c r="P75" s="30" t="n">
        <x:f>MAX(0,100-G75)</x:f>
        <x:v>83</x:v>
      </x:c>
      <x:c r="Q75" s="30" t="n">
        <x:f>MIN(100,ROUND(LOG10(D75+1)*18,0))</x:f>
        <x:v>0</x:v>
      </x:c>
      <x:c r="R75" s="30" t="n">
        <x:f>MIN(100,ROUND(E75*12,0))</x:f>
        <x:v>0</x:v>
      </x:c>
      <x:c r="S75" s="30" t="n">
        <x:f>IF(H75="No",0,ROUND(P75*0.45+Q75*0.30+R75*0.15+IF(M75="Easy",10,IF(M75="Medium",6,2))+IF(N75="High",5,IF(N75="Medium",3,0)),1))</x:f>
        <x:v>0</x:v>
      </x:c>
      <x:c r="T75" s="14" t="str">
        <x:f>IF(H75="No","Exclude",IF(S75&gt;=70,"Priority 1",IF(S75&gt;=55,"Priority 2",IF(S75&gt;=40,"Priority 3","Low priority"))))</x:f>
        <x:v>Exclude</x:v>
      </x:c>
    </x:row>
    <x:row r="76">
      <x:c r="A76" s="14" t="n">
        <x:v>75</x:v>
      </x:c>
      <x:c r="B76" s="18" t="str">
        <x:v>calculator kids</x:v>
      </x:c>
      <x:c r="C76" s="18" t="str">
        <x:v>null</x:v>
      </x:c>
      <x:c r="D76" s="26" t="n">
        <x:v>0</x:v>
      </x:c>
      <x:c r="E76" s="28" t="n">
        <x:v>0</x:v>
      </x:c>
      <x:c r="F76" s="14" t="n">
        <x:v>1</x:v>
      </x:c>
      <x:c r="G76" s="14" t="n">
        <x:v>17</x:v>
      </x:c>
      <x:c r="H76" s="14" t="str">
        <x:v>No</x:v>
      </x:c>
      <x:c r="I76" s="18" t="str">
        <x:v>No measurable volume and no clear calculator-specific intent</x:v>
      </x:c>
      <x:c r="J76" s="18" t="str">
        <x:v>Excluded / Non-calculator</x:v>
      </x:c>
      <x:c r="K76" s="18" t="str"/>
      <x:c r="L76" s="18" t="n">
        <x:v>0</x:v>
      </x:c>
      <x:c r="M76" s="18" t="str"/>
      <x:c r="N76" s="18" t="str"/>
      <x:c r="O76" s="18" t="str"/>
      <x:c r="P76" s="30" t="n">
        <x:f>MAX(0,100-G76)</x:f>
        <x:v>83</x:v>
      </x:c>
      <x:c r="Q76" s="30" t="n">
        <x:f>MIN(100,ROUND(LOG10(D76+1)*18,0))</x:f>
        <x:v>0</x:v>
      </x:c>
      <x:c r="R76" s="30" t="n">
        <x:f>MIN(100,ROUND(E76*12,0))</x:f>
        <x:v>0</x:v>
      </x:c>
      <x:c r="S76" s="30" t="n">
        <x:f>IF(H76="No",0,ROUND(P76*0.45+Q76*0.30+R76*0.15+IF(M76="Easy",10,IF(M76="Medium",6,2))+IF(N76="High",5,IF(N76="Medium",3,0)),1))</x:f>
        <x:v>0</x:v>
      </x:c>
      <x:c r="T76" s="14" t="str">
        <x:f>IF(H76="No","Exclude",IF(S76&gt;=70,"Priority 1",IF(S76&gt;=55,"Priority 2",IF(S76&gt;=40,"Priority 3","Low priority"))))</x:f>
        <x:v>Exclude</x:v>
      </x:c>
    </x:row>
    <x:row r="77">
      <x:c r="A77" s="14" t="n">
        <x:v>76</x:v>
      </x:c>
      <x:c r="B77" s="18" t="str">
        <x:v>calculator kinetics</x:v>
      </x:c>
      <x:c r="C77" s="18" t="str">
        <x:v>null</x:v>
      </x:c>
      <x:c r="D77" s="26" t="n">
        <x:v>0</x:v>
      </x:c>
      <x:c r="E77" s="28" t="n">
        <x:v>0</x:v>
      </x:c>
      <x:c r="F77" s="14" t="n">
        <x:v>1</x:v>
      </x:c>
      <x:c r="G77" s="14" t="n">
        <x:v>17</x:v>
      </x:c>
      <x:c r="H77" s="14" t="str">
        <x:v>Maybe</x:v>
      </x:c>
      <x:c r="I77" s="18" t="str">
        <x:v>Potential calculator intent, but keyword meaning is broad or ambiguous</x:v>
      </x:c>
      <x:c r="J77" s="18" t="str">
        <x:v>General / Other</x:v>
      </x:c>
      <x:c r="K77" s="18" t="str">
        <x:v>Kinetics calculator</x:v>
      </x:c>
      <x:c r="L77" s="18" t="n">
        <x:v>1</x:v>
      </x:c>
      <x:c r="M77" s="18" t="str">
        <x:v>Easy</x:v>
      </x:c>
      <x:c r="N77" s="18" t="str">
        <x:v>Medium</x:v>
      </x:c>
      <x:c r="O77" s="18" t="str">
        <x:v>Ads</x:v>
      </x:c>
      <x:c r="P77" s="30" t="n">
        <x:f>MAX(0,100-G77)</x:f>
        <x:v>83</x:v>
      </x:c>
      <x:c r="Q77" s="30" t="n">
        <x:f>MIN(100,ROUND(LOG10(D77+1)*18,0))</x:f>
        <x:v>0</x:v>
      </x:c>
      <x:c r="R77" s="30" t="n">
        <x:f>MIN(100,ROUND(E77*12,0))</x:f>
        <x:v>0</x:v>
      </x:c>
      <x:c r="S77" s="30" t="n">
        <x:f>IF(H77="No",0,ROUND(P77*0.45+Q77*0.30+R77*0.15+IF(M77="Easy",10,IF(M77="Medium",6,2))+IF(N77="High",5,IF(N77="Medium",3,0)),1))</x:f>
        <x:v>50.4</x:v>
      </x:c>
      <x:c r="T77" s="14" t="str">
        <x:f>IF(H77="No","Exclude",IF(S77&gt;=70,"Priority 1",IF(S77&gt;=55,"Priority 2",IF(S77&gt;=40,"Priority 3","Low priority"))))</x:f>
        <x:v>Priority 3</x:v>
      </x:c>
    </x:row>
    <x:row r="78">
      <x:c r="A78" s="14" t="n">
        <x:v>77</x:v>
      </x:c>
      <x:c r="B78" s="18" t="str">
        <x:v>calculator qbit</x:v>
      </x:c>
      <x:c r="C78" s="18" t="str">
        <x:v>null</x:v>
      </x:c>
      <x:c r="D78" s="26" t="n">
        <x:v>0</x:v>
      </x:c>
      <x:c r="E78" s="28" t="n">
        <x:v>0</x:v>
      </x:c>
      <x:c r="F78" s="14" t="n">
        <x:v>1</x:v>
      </x:c>
      <x:c r="G78" s="14" t="n">
        <x:v>17</x:v>
      </x:c>
      <x:c r="H78" s="14" t="str">
        <x:v>No</x:v>
      </x:c>
      <x:c r="I78" s="18" t="str">
        <x:v>No measurable volume and no clear calculator-specific intent</x:v>
      </x:c>
      <x:c r="J78" s="18" t="str">
        <x:v>Excluded / Non-calculator</x:v>
      </x:c>
      <x:c r="K78" s="18" t="str"/>
      <x:c r="L78" s="18" t="n">
        <x:v>0</x:v>
      </x:c>
      <x:c r="M78" s="18" t="str"/>
      <x:c r="N78" s="18" t="str"/>
      <x:c r="O78" s="18" t="str"/>
      <x:c r="P78" s="30" t="n">
        <x:f>MAX(0,100-G78)</x:f>
        <x:v>83</x:v>
      </x:c>
      <x:c r="Q78" s="30" t="n">
        <x:f>MIN(100,ROUND(LOG10(D78+1)*18,0))</x:f>
        <x:v>0</x:v>
      </x:c>
      <x:c r="R78" s="30" t="n">
        <x:f>MIN(100,ROUND(E78*12,0))</x:f>
        <x:v>0</x:v>
      </x:c>
      <x:c r="S78" s="30" t="n">
        <x:f>IF(H78="No",0,ROUND(P78*0.45+Q78*0.30+R78*0.15+IF(M78="Easy",10,IF(M78="Medium",6,2))+IF(N78="High",5,IF(N78="Medium",3,0)),1))</x:f>
        <x:v>0</x:v>
      </x:c>
      <x:c r="T78" s="14" t="str">
        <x:f>IF(H78="No","Exclude",IF(S78&gt;=70,"Priority 1",IF(S78&gt;=55,"Priority 2",IF(S78&gt;=40,"Priority 3","Low priority"))))</x:f>
        <x:v>Exclude</x:v>
      </x:c>
    </x:row>
    <x:row r="79">
      <x:c r="A79" s="14" t="n">
        <x:v>78</x:v>
      </x:c>
      <x:c r="B79" s="18" t="str">
        <x:v>calculator yen</x:v>
      </x:c>
      <x:c r="C79" s="18" t="str">
        <x:v>null</x:v>
      </x:c>
      <x:c r="D79" s="26" t="n">
        <x:v>0</x:v>
      </x:c>
      <x:c r="E79" s="28" t="n">
        <x:v>0</x:v>
      </x:c>
      <x:c r="F79" s="14" t="n">
        <x:v>1</x:v>
      </x:c>
      <x:c r="G79" s="14" t="n">
        <x:v>17</x:v>
      </x:c>
      <x:c r="H79" s="14" t="str">
        <x:v>No</x:v>
      </x:c>
      <x:c r="I79" s="18" t="str">
        <x:v>No measurable volume and no clear calculator-specific intent</x:v>
      </x:c>
      <x:c r="J79" s="18" t="str">
        <x:v>Excluded / Non-calculator</x:v>
      </x:c>
      <x:c r="K79" s="18" t="str"/>
      <x:c r="L79" s="18" t="n">
        <x:v>0</x:v>
      </x:c>
      <x:c r="M79" s="18" t="str"/>
      <x:c r="N79" s="18" t="str"/>
      <x:c r="O79" s="18" t="str"/>
      <x:c r="P79" s="30" t="n">
        <x:f>MAX(0,100-G79)</x:f>
        <x:v>83</x:v>
      </x:c>
      <x:c r="Q79" s="30" t="n">
        <x:f>MIN(100,ROUND(LOG10(D79+1)*18,0))</x:f>
        <x:v>0</x:v>
      </x:c>
      <x:c r="R79" s="30" t="n">
        <x:f>MIN(100,ROUND(E79*12,0))</x:f>
        <x:v>0</x:v>
      </x:c>
      <x:c r="S79" s="30" t="n">
        <x:f>IF(H79="No",0,ROUND(P79*0.45+Q79*0.30+R79*0.15+IF(M79="Easy",10,IF(M79="Medium",6,2))+IF(N79="High",5,IF(N79="Medium",3,0)),1))</x:f>
        <x:v>0</x:v>
      </x:c>
      <x:c r="T79" s="14" t="str">
        <x:f>IF(H79="No","Exclude",IF(S79&gt;=70,"Priority 1",IF(S79&gt;=55,"Priority 2",IF(S79&gt;=40,"Priority 3","Low priority"))))</x:f>
        <x:v>Exclude</x:v>
      </x:c>
    </x:row>
    <x:row r="80">
      <x:c r="A80" s="14" t="n">
        <x:v>79</x:v>
      </x:c>
      <x:c r="B80" s="18" t="str">
        <x:v>calculator ramsey</x:v>
      </x:c>
      <x:c r="C80" s="18" t="str">
        <x:v>null</x:v>
      </x:c>
      <x:c r="D80" s="26" t="n">
        <x:v>0</x:v>
      </x:c>
      <x:c r="E80" s="28" t="n">
        <x:v>0</x:v>
      </x:c>
      <x:c r="F80" s="14" t="n">
        <x:v>1</x:v>
      </x:c>
      <x:c r="G80" s="14" t="n">
        <x:v>17</x:v>
      </x:c>
      <x:c r="H80" s="14" t="str">
        <x:v>No</x:v>
      </x:c>
      <x:c r="I80" s="18" t="str">
        <x:v>No measurable volume and no clear calculator-specific intent</x:v>
      </x:c>
      <x:c r="J80" s="18" t="str">
        <x:v>Excluded / Non-calculator</x:v>
      </x:c>
      <x:c r="K80" s="18" t="str"/>
      <x:c r="L80" s="18" t="n">
        <x:v>0</x:v>
      </x:c>
      <x:c r="M80" s="18" t="str"/>
      <x:c r="N80" s="18" t="str"/>
      <x:c r="O80" s="18" t="str"/>
      <x:c r="P80" s="30" t="n">
        <x:f>MAX(0,100-G80)</x:f>
        <x:v>83</x:v>
      </x:c>
      <x:c r="Q80" s="30" t="n">
        <x:f>MIN(100,ROUND(LOG10(D80+1)*18,0))</x:f>
        <x:v>0</x:v>
      </x:c>
      <x:c r="R80" s="30" t="n">
        <x:f>MIN(100,ROUND(E80*12,0))</x:f>
        <x:v>0</x:v>
      </x:c>
      <x:c r="S80" s="30" t="n">
        <x:f>IF(H80="No",0,ROUND(P80*0.45+Q80*0.30+R80*0.15+IF(M80="Easy",10,IF(M80="Medium",6,2))+IF(N80="High",5,IF(N80="Medium",3,0)),1))</x:f>
        <x:v>0</x:v>
      </x:c>
      <x:c r="T80" s="14" t="str">
        <x:f>IF(H80="No","Exclude",IF(S80&gt;=70,"Priority 1",IF(S80&gt;=55,"Priority 2",IF(S80&gt;=40,"Priority 3","Low priority"))))</x:f>
        <x:v>Exclude</x:v>
      </x:c>
    </x:row>
    <x:row r="81">
      <x:c r="A81" s="14" t="n">
        <x:v>80</x:v>
      </x:c>
      <x:c r="B81" s="18" t="str">
        <x:v>calculator 1/2</x:v>
      </x:c>
      <x:c r="C81" s="18" t="str">
        <x:v>null</x:v>
      </x:c>
      <x:c r="D81" s="26" t="n">
        <x:v>170</x:v>
      </x:c>
      <x:c r="E81" s="28" t="n">
        <x:v>0</x:v>
      </x:c>
      <x:c r="F81" s="14" t="n">
        <x:v>1</x:v>
      </x:c>
      <x:c r="G81" s="14" t="n">
        <x:v>18</x:v>
      </x:c>
      <x:c r="H81" s="14" t="str">
        <x:v>Maybe</x:v>
      </x:c>
      <x:c r="I81" s="18" t="str">
        <x:v>Insufficiently specific; requires SERP validation before development</x:v>
      </x:c>
      <x:c r="J81" s="18" t="str">
        <x:v>General / Other</x:v>
      </x:c>
      <x:c r="K81" s="18" t="str">
        <x:v>1/2 calculator</x:v>
      </x:c>
      <x:c r="L81" s="18" t="n">
        <x:v>1</x:v>
      </x:c>
      <x:c r="M81" s="18" t="str">
        <x:v>Easy</x:v>
      </x:c>
      <x:c r="N81" s="18" t="str">
        <x:v>Medium</x:v>
      </x:c>
      <x:c r="O81" s="18" t="str">
        <x:v>Ads</x:v>
      </x:c>
      <x:c r="P81" s="30" t="n">
        <x:f>MAX(0,100-G81)</x:f>
        <x:v>82</x:v>
      </x:c>
      <x:c r="Q81" s="30" t="n">
        <x:f>MIN(100,ROUND(LOG10(D81+1)*18,0))</x:f>
        <x:v>40</x:v>
      </x:c>
      <x:c r="R81" s="30" t="n">
        <x:f>MIN(100,ROUND(E81*12,0))</x:f>
        <x:v>0</x:v>
      </x:c>
      <x:c r="S81" s="30" t="n">
        <x:f>IF(H81="No",0,ROUND(P81*0.45+Q81*0.30+R81*0.15+IF(M81="Easy",10,IF(M81="Medium",6,2))+IF(N81="High",5,IF(N81="Medium",3,0)),1))</x:f>
        <x:v>61.9</x:v>
      </x:c>
      <x:c r="T81" s="14" t="str">
        <x:f>IF(H81="No","Exclude",IF(S81&gt;=70,"Priority 1",IF(S81&gt;=55,"Priority 2",IF(S81&gt;=40,"Priority 3","Low priority"))))</x:f>
        <x:v>Priority 2</x:v>
      </x:c>
    </x:row>
    <x:row r="82">
      <x:c r="A82" s="14" t="n">
        <x:v>81</x:v>
      </x:c>
      <x:c r="B82" s="18" t="str">
        <x:v>calculator 8 digit</x:v>
      </x:c>
      <x:c r="C82" s="18" t="str">
        <x:v>transactional, informational</x:v>
      </x:c>
      <x:c r="D82" s="26" t="n">
        <x:v>90</x:v>
      </x:c>
      <x:c r="E82" s="28" t="n">
        <x:v>0.37</x:v>
      </x:c>
      <x:c r="F82" s="14" t="n">
        <x:v>98</x:v>
      </x:c>
      <x:c r="G82" s="14" t="n">
        <x:v>18</x:v>
      </x:c>
      <x:c r="H82" s="14" t="str">
        <x:v>Maybe</x:v>
      </x:c>
      <x:c r="I82" s="18" t="str">
        <x:v>Insufficiently specific; requires SERP validation before development</x:v>
      </x:c>
      <x:c r="J82" s="18" t="str">
        <x:v>General / Other</x:v>
      </x:c>
      <x:c r="K82" s="18" t="str">
        <x:v>8 Digit calculator</x:v>
      </x:c>
      <x:c r="L82" s="18" t="n">
        <x:v>1</x:v>
      </x:c>
      <x:c r="M82" s="18" t="str">
        <x:v>Easy</x:v>
      </x:c>
      <x:c r="N82" s="18" t="str">
        <x:v>Medium</x:v>
      </x:c>
      <x:c r="O82" s="18" t="str">
        <x:v>Ads</x:v>
      </x:c>
      <x:c r="P82" s="30" t="n">
        <x:f>MAX(0,100-G82)</x:f>
        <x:v>82</x:v>
      </x:c>
      <x:c r="Q82" s="30" t="n">
        <x:f>MIN(100,ROUND(LOG10(D82+1)*18,0))</x:f>
        <x:v>35</x:v>
      </x:c>
      <x:c r="R82" s="30" t="n">
        <x:f>MIN(100,ROUND(E82*12,0))</x:f>
        <x:v>4</x:v>
      </x:c>
      <x:c r="S82" s="30" t="n">
        <x:f>IF(H82="No",0,ROUND(P82*0.45+Q82*0.30+R82*0.15+IF(M82="Easy",10,IF(M82="Medium",6,2))+IF(N82="High",5,IF(N82="Medium",3,0)),1))</x:f>
        <x:v>61</x:v>
      </x:c>
      <x:c r="T82" s="14" t="str">
        <x:f>IF(H82="No","Exclude",IF(S82&gt;=70,"Priority 1",IF(S82&gt;=55,"Priority 2",IF(S82&gt;=40,"Priority 3","Low priority"))))</x:f>
        <x:v>Priority 2</x:v>
      </x:c>
    </x:row>
    <x:row r="83">
      <x:c r="A83" s="14" t="n">
        <x:v>82</x:v>
      </x:c>
      <x:c r="B83" s="18" t="str">
        <x:v>calculator key nyt</x:v>
      </x:c>
      <x:c r="C83" s="18" t="str">
        <x:v>navigational</x:v>
      </x:c>
      <x:c r="D83" s="26" t="n">
        <x:v>70</x:v>
      </x:c>
      <x:c r="E83" s="28" t="n">
        <x:v>0</x:v>
      </x:c>
      <x:c r="F83" s="14" t="n">
        <x:v>1</x:v>
      </x:c>
      <x:c r="G83" s="14" t="n">
        <x:v>18</x:v>
      </x:c>
      <x:c r="H83" s="14" t="str">
        <x:v>Maybe</x:v>
      </x:c>
      <x:c r="I83" s="18" t="str">
        <x:v>Insufficiently specific; requires SERP validation before development</x:v>
      </x:c>
      <x:c r="J83" s="18" t="str">
        <x:v>General / Other</x:v>
      </x:c>
      <x:c r="K83" s="18" t="str">
        <x:v>Key Nyt calculator</x:v>
      </x:c>
      <x:c r="L83" s="18" t="n">
        <x:v>1</x:v>
      </x:c>
      <x:c r="M83" s="18" t="str">
        <x:v>Easy</x:v>
      </x:c>
      <x:c r="N83" s="18" t="str">
        <x:v>Medium</x:v>
      </x:c>
      <x:c r="O83" s="18" t="str">
        <x:v>Ads</x:v>
      </x:c>
      <x:c r="P83" s="30" t="n">
        <x:f>MAX(0,100-G83)</x:f>
        <x:v>82</x:v>
      </x:c>
      <x:c r="Q83" s="30" t="n">
        <x:f>MIN(100,ROUND(LOG10(D83+1)*18,0))</x:f>
        <x:v>33</x:v>
      </x:c>
      <x:c r="R83" s="30" t="n">
        <x:f>MIN(100,ROUND(E83*12,0))</x:f>
        <x:v>0</x:v>
      </x:c>
      <x:c r="S83" s="30" t="n">
        <x:f>IF(H83="No",0,ROUND(P83*0.45+Q83*0.30+R83*0.15+IF(M83="Easy",10,IF(M83="Medium",6,2))+IF(N83="High",5,IF(N83="Medium",3,0)),1))</x:f>
        <x:v>59.8</x:v>
      </x:c>
      <x:c r="T83" s="14" t="str">
        <x:f>IF(H83="No","Exclude",IF(S83&gt;=70,"Priority 1",IF(S83&gt;=55,"Priority 2",IF(S83&gt;=40,"Priority 3","Low priority"))))</x:f>
        <x:v>Priority 2</x:v>
      </x:c>
    </x:row>
    <x:row r="84">
      <x:c r="A84" s="14" t="n">
        <x:v>83</x:v>
      </x:c>
      <x:c r="B84" s="18" t="str">
        <x:v>calculator 1960s</x:v>
      </x:c>
      <x:c r="C84" s="18" t="str">
        <x:v>null</x:v>
      </x:c>
      <x:c r="D84" s="26" t="n">
        <x:v>20</x:v>
      </x:c>
      <x:c r="E84" s="28" t="n">
        <x:v>0</x:v>
      </x:c>
      <x:c r="F84" s="14" t="n">
        <x:v>1</x:v>
      </x:c>
      <x:c r="G84" s="14" t="n">
        <x:v>18</x:v>
      </x:c>
      <x:c r="H84" s="14" t="str">
        <x:v>Maybe</x:v>
      </x:c>
      <x:c r="I84" s="18" t="str">
        <x:v>Insufficiently specific; requires SERP validation before development</x:v>
      </x:c>
      <x:c r="J84" s="18" t="str">
        <x:v>General / Other</x:v>
      </x:c>
      <x:c r="K84" s="18" t="str">
        <x:v>1960S calculator</x:v>
      </x:c>
      <x:c r="L84" s="18" t="n">
        <x:v>1</x:v>
      </x:c>
      <x:c r="M84" s="18" t="str">
        <x:v>Easy</x:v>
      </x:c>
      <x:c r="N84" s="18" t="str">
        <x:v>Medium</x:v>
      </x:c>
      <x:c r="O84" s="18" t="str">
        <x:v>Ads</x:v>
      </x:c>
      <x:c r="P84" s="30" t="n">
        <x:f>MAX(0,100-G84)</x:f>
        <x:v>82</x:v>
      </x:c>
      <x:c r="Q84" s="30" t="n">
        <x:f>MIN(100,ROUND(LOG10(D84+1)*18,0))</x:f>
        <x:v>24</x:v>
      </x:c>
      <x:c r="R84" s="30" t="n">
        <x:f>MIN(100,ROUND(E84*12,0))</x:f>
        <x:v>0</x:v>
      </x:c>
      <x:c r="S84" s="30" t="n">
        <x:f>IF(H84="No",0,ROUND(P84*0.45+Q84*0.30+R84*0.15+IF(M84="Easy",10,IF(M84="Medium",6,2))+IF(N84="High",5,IF(N84="Medium",3,0)),1))</x:f>
        <x:v>57.1</x:v>
      </x:c>
      <x:c r="T84" s="14" t="str">
        <x:f>IF(H84="No","Exclude",IF(S84&gt;=70,"Priority 1",IF(S84&gt;=55,"Priority 2",IF(S84&gt;=40,"Priority 3","Low priority"))))</x:f>
        <x:v>Priority 2</x:v>
      </x:c>
    </x:row>
    <x:row r="85">
      <x:c r="A85" s="14" t="n">
        <x:v>84</x:v>
      </x:c>
      <x:c r="B85" s="18" t="str">
        <x:v>calculator 1rm</x:v>
      </x:c>
      <x:c r="C85" s="18" t="str">
        <x:v>null</x:v>
      </x:c>
      <x:c r="D85" s="26" t="n">
        <x:v>20</x:v>
      </x:c>
      <x:c r="E85" s="28" t="n">
        <x:v>0</x:v>
      </x:c>
      <x:c r="F85" s="14" t="n">
        <x:v>1</x:v>
      </x:c>
      <x:c r="G85" s="14" t="n">
        <x:v>18</x:v>
      </x:c>
      <x:c r="H85" s="14" t="str">
        <x:v>Maybe</x:v>
      </x:c>
      <x:c r="I85" s="18" t="str">
        <x:v>Insufficiently specific; requires SERP validation before development</x:v>
      </x:c>
      <x:c r="J85" s="18" t="str">
        <x:v>General / Other</x:v>
      </x:c>
      <x:c r="K85" s="18" t="str">
        <x:v>1Rm calculator</x:v>
      </x:c>
      <x:c r="L85" s="18" t="n">
        <x:v>1</x:v>
      </x:c>
      <x:c r="M85" s="18" t="str">
        <x:v>Easy</x:v>
      </x:c>
      <x:c r="N85" s="18" t="str">
        <x:v>Medium</x:v>
      </x:c>
      <x:c r="O85" s="18" t="str">
        <x:v>Ads</x:v>
      </x:c>
      <x:c r="P85" s="30" t="n">
        <x:f>MAX(0,100-G85)</x:f>
        <x:v>82</x:v>
      </x:c>
      <x:c r="Q85" s="30" t="n">
        <x:f>MIN(100,ROUND(LOG10(D85+1)*18,0))</x:f>
        <x:v>24</x:v>
      </x:c>
      <x:c r="R85" s="30" t="n">
        <x:f>MIN(100,ROUND(E85*12,0))</x:f>
        <x:v>0</x:v>
      </x:c>
      <x:c r="S85" s="30" t="n">
        <x:f>IF(H85="No",0,ROUND(P85*0.45+Q85*0.30+R85*0.15+IF(M85="Easy",10,IF(M85="Medium",6,2))+IF(N85="High",5,IF(N85="Medium",3,0)),1))</x:f>
        <x:v>57.1</x:v>
      </x:c>
      <x:c r="T85" s="14" t="str">
        <x:f>IF(H85="No","Exclude",IF(S85&gt;=70,"Priority 1",IF(S85&gt;=55,"Priority 2",IF(S85&gt;=40,"Priority 3","Low priority"))))</x:f>
        <x:v>Priority 2</x:v>
      </x:c>
    </x:row>
    <x:row r="86">
      <x:c r="A86" s="14" t="n">
        <x:v>85</x:v>
      </x:c>
      <x:c r="B86" s="18" t="str">
        <x:v>calculator 350</x:v>
      </x:c>
      <x:c r="C86" s="18" t="str">
        <x:v>null</x:v>
      </x:c>
      <x:c r="D86" s="26" t="n">
        <x:v>20</x:v>
      </x:c>
      <x:c r="E86" s="28" t="n">
        <x:v>0</x:v>
      </x:c>
      <x:c r="F86" s="14" t="n">
        <x:v>1</x:v>
      </x:c>
      <x:c r="G86" s="14" t="n">
        <x:v>18</x:v>
      </x:c>
      <x:c r="H86" s="14" t="str">
        <x:v>No</x:v>
      </x:c>
      <x:c r="I86" s="18" t="str">
        <x:v>Model/number query, not a distinct web calculator</x:v>
      </x:c>
      <x:c r="J86" s="18" t="str">
        <x:v>Excluded / Non-calculator</x:v>
      </x:c>
      <x:c r="K86" s="18" t="str"/>
      <x:c r="L86" s="18" t="n">
        <x:v>0</x:v>
      </x:c>
      <x:c r="M86" s="18" t="str"/>
      <x:c r="N86" s="18" t="str"/>
      <x:c r="O86" s="18" t="str"/>
      <x:c r="P86" s="30" t="n">
        <x:f>MAX(0,100-G86)</x:f>
        <x:v>82</x:v>
      </x:c>
      <x:c r="Q86" s="30" t="n">
        <x:f>MIN(100,ROUND(LOG10(D86+1)*18,0))</x:f>
        <x:v>24</x:v>
      </x:c>
      <x:c r="R86" s="30" t="n">
        <x:f>MIN(100,ROUND(E86*12,0))</x:f>
        <x:v>0</x:v>
      </x:c>
      <x:c r="S86" s="30" t="n">
        <x:f>IF(H86="No",0,ROUND(P86*0.45+Q86*0.30+R86*0.15+IF(M86="Easy",10,IF(M86="Medium",6,2))+IF(N86="High",5,IF(N86="Medium",3,0)),1))</x:f>
        <x:v>0</x:v>
      </x:c>
      <x:c r="T86" s="14" t="str">
        <x:f>IF(H86="No","Exclude",IF(S86&gt;=70,"Priority 1",IF(S86&gt;=55,"Priority 2",IF(S86&gt;=40,"Priority 3","Low priority"))))</x:f>
        <x:v>Exclude</x:v>
      </x:c>
    </x:row>
    <x:row r="87">
      <x:c r="A87" s="14" t="n">
        <x:v>86</x:v>
      </x:c>
      <x:c r="B87" s="18" t="str">
        <x:v>calculator 8008</x:v>
      </x:c>
      <x:c r="C87" s="18" t="str">
        <x:v>null</x:v>
      </x:c>
      <x:c r="D87" s="26" t="n">
        <x:v>20</x:v>
      </x:c>
      <x:c r="E87" s="28" t="n">
        <x:v>0</x:v>
      </x:c>
      <x:c r="F87" s="14" t="n">
        <x:v>1</x:v>
      </x:c>
      <x:c r="G87" s="14" t="n">
        <x:v>18</x:v>
      </x:c>
      <x:c r="H87" s="14" t="str">
        <x:v>No</x:v>
      </x:c>
      <x:c r="I87" s="18" t="str">
        <x:v>Model/number query, not a distinct web calculator</x:v>
      </x:c>
      <x:c r="J87" s="18" t="str">
        <x:v>Excluded / Non-calculator</x:v>
      </x:c>
      <x:c r="K87" s="18" t="str"/>
      <x:c r="L87" s="18" t="n">
        <x:v>0</x:v>
      </x:c>
      <x:c r="M87" s="18" t="str"/>
      <x:c r="N87" s="18" t="str"/>
      <x:c r="O87" s="18" t="str"/>
      <x:c r="P87" s="30" t="n">
        <x:f>MAX(0,100-G87)</x:f>
        <x:v>82</x:v>
      </x:c>
      <x:c r="Q87" s="30" t="n">
        <x:f>MIN(100,ROUND(LOG10(D87+1)*18,0))</x:f>
        <x:v>24</x:v>
      </x:c>
      <x:c r="R87" s="30" t="n">
        <x:f>MIN(100,ROUND(E87*12,0))</x:f>
        <x:v>0</x:v>
      </x:c>
      <x:c r="S87" s="30" t="n">
        <x:f>IF(H87="No",0,ROUND(P87*0.45+Q87*0.30+R87*0.15+IF(M87="Easy",10,IF(M87="Medium",6,2))+IF(N87="High",5,IF(N87="Medium",3,0)),1))</x:f>
        <x:v>0</x:v>
      </x:c>
      <x:c r="T87" s="14" t="str">
        <x:f>IF(H87="No","Exclude",IF(S87&gt;=70,"Priority 1",IF(S87&gt;=55,"Priority 2",IF(S87&gt;=40,"Priority 3","Low priority"))))</x:f>
        <x:v>Exclude</x:v>
      </x:c>
    </x:row>
    <x:row r="88">
      <x:c r="A88" s="14" t="n">
        <x:v>87</x:v>
      </x:c>
      <x:c r="B88" s="18" t="str">
        <x:v>calculator jpg</x:v>
      </x:c>
      <x:c r="C88" s="18" t="str">
        <x:v>null</x:v>
      </x:c>
      <x:c r="D88" s="26" t="n">
        <x:v>20</x:v>
      </x:c>
      <x:c r="E88" s="28" t="n">
        <x:v>0</x:v>
      </x:c>
      <x:c r="F88" s="14" t="n">
        <x:v>1</x:v>
      </x:c>
      <x:c r="G88" s="14" t="n">
        <x:v>18</x:v>
      </x:c>
      <x:c r="H88" s="14" t="str">
        <x:v>Maybe</x:v>
      </x:c>
      <x:c r="I88" s="18" t="str">
        <x:v>Insufficiently specific; requires SERP validation before development</x:v>
      </x:c>
      <x:c r="J88" s="18" t="str">
        <x:v>General / Other</x:v>
      </x:c>
      <x:c r="K88" s="18" t="str">
        <x:v>Jpg calculator</x:v>
      </x:c>
      <x:c r="L88" s="18" t="n">
        <x:v>1</x:v>
      </x:c>
      <x:c r="M88" s="18" t="str">
        <x:v>Easy</x:v>
      </x:c>
      <x:c r="N88" s="18" t="str">
        <x:v>Medium</x:v>
      </x:c>
      <x:c r="O88" s="18" t="str">
        <x:v>Ads</x:v>
      </x:c>
      <x:c r="P88" s="30" t="n">
        <x:f>MAX(0,100-G88)</x:f>
        <x:v>82</x:v>
      </x:c>
      <x:c r="Q88" s="30" t="n">
        <x:f>MIN(100,ROUND(LOG10(D88+1)*18,0))</x:f>
        <x:v>24</x:v>
      </x:c>
      <x:c r="R88" s="30" t="n">
        <x:f>MIN(100,ROUND(E88*12,0))</x:f>
        <x:v>0</x:v>
      </x:c>
      <x:c r="S88" s="30" t="n">
        <x:f>IF(H88="No",0,ROUND(P88*0.45+Q88*0.30+R88*0.15+IF(M88="Easy",10,IF(M88="Medium",6,2))+IF(N88="High",5,IF(N88="Medium",3,0)),1))</x:f>
        <x:v>57.1</x:v>
      </x:c>
      <x:c r="T88" s="14" t="str">
        <x:f>IF(H88="No","Exclude",IF(S88&gt;=70,"Priority 1",IF(S88&gt;=55,"Priority 2",IF(S88&gt;=40,"Priority 3","Low priority"))))</x:f>
        <x:v>Priority 2</x:v>
      </x:c>
    </x:row>
    <x:row r="89">
      <x:c r="A89" s="14" t="n">
        <x:v>88</x:v>
      </x:c>
      <x:c r="B89" s="18" t="str">
        <x:v>calculator 000</x:v>
      </x:c>
      <x:c r="C89" s="18" t="str">
        <x:v>null</x:v>
      </x:c>
      <x:c r="D89" s="26" t="n">
        <x:v>10</x:v>
      </x:c>
      <x:c r="E89" s="28" t="n">
        <x:v>0</x:v>
      </x:c>
      <x:c r="F89" s="14" t="n">
        <x:v>1</x:v>
      </x:c>
      <x:c r="G89" s="14" t="n">
        <x:v>18</x:v>
      </x:c>
      <x:c r="H89" s="14" t="str">
        <x:v>No</x:v>
      </x:c>
      <x:c r="I89" s="18" t="str">
        <x:v>Model/number query, not a distinct web calculator</x:v>
      </x:c>
      <x:c r="J89" s="18" t="str">
        <x:v>Excluded / Non-calculator</x:v>
      </x:c>
      <x:c r="K89" s="18" t="str"/>
      <x:c r="L89" s="18" t="n">
        <x:v>0</x:v>
      </x:c>
      <x:c r="M89" s="18" t="str"/>
      <x:c r="N89" s="18" t="str"/>
      <x:c r="O89" s="18" t="str"/>
      <x:c r="P89" s="30" t="n">
        <x:f>MAX(0,100-G89)</x:f>
        <x:v>82</x:v>
      </x:c>
      <x:c r="Q89" s="30" t="n">
        <x:f>MIN(100,ROUND(LOG10(D89+1)*18,0))</x:f>
        <x:v>19</x:v>
      </x:c>
      <x:c r="R89" s="30" t="n">
        <x:f>MIN(100,ROUND(E89*12,0))</x:f>
        <x:v>0</x:v>
      </x:c>
      <x:c r="S89" s="30" t="n">
        <x:f>IF(H89="No",0,ROUND(P89*0.45+Q89*0.30+R89*0.15+IF(M89="Easy",10,IF(M89="Medium",6,2))+IF(N89="High",5,IF(N89="Medium",3,0)),1))</x:f>
        <x:v>0</x:v>
      </x:c>
      <x:c r="T89" s="14" t="str">
        <x:f>IF(H89="No","Exclude",IF(S89&gt;=70,"Priority 1",IF(S89&gt;=55,"Priority 2",IF(S89&gt;=40,"Priority 3","Low priority"))))</x:f>
        <x:v>Exclude</x:v>
      </x:c>
    </x:row>
    <x:row r="90">
      <x:c r="A90" s="14" t="n">
        <x:v>89</x:v>
      </x:c>
      <x:c r="B90" s="18" t="str">
        <x:v>calculator zile</x:v>
      </x:c>
      <x:c r="C90" s="18" t="str">
        <x:v>null</x:v>
      </x:c>
      <x:c r="D90" s="26" t="n">
        <x:v>10</x:v>
      </x:c>
      <x:c r="E90" s="28" t="n">
        <x:v>0</x:v>
      </x:c>
      <x:c r="F90" s="14" t="n">
        <x:v>1</x:v>
      </x:c>
      <x:c r="G90" s="14" t="n">
        <x:v>18</x:v>
      </x:c>
      <x:c r="H90" s="14" t="str">
        <x:v>Maybe</x:v>
      </x:c>
      <x:c r="I90" s="18" t="str">
        <x:v>Insufficiently specific; requires SERP validation before development</x:v>
      </x:c>
      <x:c r="J90" s="18" t="str">
        <x:v>General / Other</x:v>
      </x:c>
      <x:c r="K90" s="18" t="str">
        <x:v>Zile calculator</x:v>
      </x:c>
      <x:c r="L90" s="18" t="n">
        <x:v>1</x:v>
      </x:c>
      <x:c r="M90" s="18" t="str">
        <x:v>Easy</x:v>
      </x:c>
      <x:c r="N90" s="18" t="str">
        <x:v>Medium</x:v>
      </x:c>
      <x:c r="O90" s="18" t="str">
        <x:v>Ads</x:v>
      </x:c>
      <x:c r="P90" s="30" t="n">
        <x:f>MAX(0,100-G90)</x:f>
        <x:v>82</x:v>
      </x:c>
      <x:c r="Q90" s="30" t="n">
        <x:f>MIN(100,ROUND(LOG10(D90+1)*18,0))</x:f>
        <x:v>19</x:v>
      </x:c>
      <x:c r="R90" s="30" t="n">
        <x:f>MIN(100,ROUND(E90*12,0))</x:f>
        <x:v>0</x:v>
      </x:c>
      <x:c r="S90" s="30" t="n">
        <x:f>IF(H90="No",0,ROUND(P90*0.45+Q90*0.30+R90*0.15+IF(M90="Easy",10,IF(M90="Medium",6,2))+IF(N90="High",5,IF(N90="Medium",3,0)),1))</x:f>
        <x:v>55.6</x:v>
      </x:c>
      <x:c r="T90" s="14" t="str">
        <x:f>IF(H90="No","Exclude",IF(S90&gt;=70,"Priority 1",IF(S90&gt;=55,"Priority 2",IF(S90&gt;=40,"Priority 3","Low priority"))))</x:f>
        <x:v>Priority 2</x:v>
      </x:c>
    </x:row>
    <x:row r="91">
      <x:c r="A91" s="14" t="n">
        <x:v>90</x:v>
      </x:c>
      <x:c r="B91" s="18" t="str">
        <x:v>calculator showdown</x:v>
      </x:c>
      <x:c r="C91" s="18" t="str">
        <x:v>null</x:v>
      </x:c>
      <x:c r="D91" s="26" t="n">
        <x:v>4400</x:v>
      </x:c>
      <x:c r="E91" s="28" t="n">
        <x:v>0</x:v>
      </x:c>
      <x:c r="F91" s="14" t="n">
        <x:v>1</x:v>
      </x:c>
      <x:c r="G91" s="14" t="n">
        <x:v>19</x:v>
      </x:c>
      <x:c r="H91" s="14" t="str">
        <x:v>Maybe</x:v>
      </x:c>
      <x:c r="I91" s="18" t="str">
        <x:v>Insufficiently specific; requires SERP validation before development</x:v>
      </x:c>
      <x:c r="J91" s="18" t="str">
        <x:v>General / Other</x:v>
      </x:c>
      <x:c r="K91" s="18" t="str">
        <x:v>Showdown calculator</x:v>
      </x:c>
      <x:c r="L91" s="18" t="n">
        <x:v>1</x:v>
      </x:c>
      <x:c r="M91" s="18" t="str">
        <x:v>Easy</x:v>
      </x:c>
      <x:c r="N91" s="18" t="str">
        <x:v>Medium</x:v>
      </x:c>
      <x:c r="O91" s="18" t="str">
        <x:v>Ads</x:v>
      </x:c>
      <x:c r="P91" s="30" t="n">
        <x:f>MAX(0,100-G91)</x:f>
        <x:v>81</x:v>
      </x:c>
      <x:c r="Q91" s="30" t="n">
        <x:f>MIN(100,ROUND(LOG10(D91+1)*18,0))</x:f>
        <x:v>66</x:v>
      </x:c>
      <x:c r="R91" s="30" t="n">
        <x:f>MIN(100,ROUND(E91*12,0))</x:f>
        <x:v>0</x:v>
      </x:c>
      <x:c r="S91" s="30" t="n">
        <x:f>IF(H91="No",0,ROUND(P91*0.45+Q91*0.30+R91*0.15+IF(M91="Easy",10,IF(M91="Medium",6,2))+IF(N91="High",5,IF(N91="Medium",3,0)),1))</x:f>
        <x:v>69.3</x:v>
      </x:c>
      <x:c r="T91" s="14" t="str">
        <x:f>IF(H91="No","Exclude",IF(S91&gt;=70,"Priority 1",IF(S91&gt;=55,"Priority 2",IF(S91&gt;=40,"Priority 3","Low priority"))))</x:f>
        <x:v>Priority 2</x:v>
      </x:c>
    </x:row>
    <x:row r="92">
      <x:c r="A92" s="14" t="n">
        <x:v>91</x:v>
      </x:c>
      <x:c r="B92" s="18" t="str">
        <x:v>calculator emoji</x:v>
      </x:c>
      <x:c r="C92" s="18" t="str">
        <x:v>informational</x:v>
      </x:c>
      <x:c r="D92" s="26" t="n">
        <x:v>1300</x:v>
      </x:c>
      <x:c r="E92" s="28" t="n">
        <x:v>0</x:v>
      </x:c>
      <x:c r="F92" s="14" t="n">
        <x:v>1</x:v>
      </x:c>
      <x:c r="G92" s="14" t="n">
        <x:v>19</x:v>
      </x:c>
      <x:c r="H92" s="14" t="str">
        <x:v>Maybe</x:v>
      </x:c>
      <x:c r="I92" s="18" t="str">
        <x:v>Insufficiently specific; requires SERP validation before development</x:v>
      </x:c>
      <x:c r="J92" s="18" t="str">
        <x:v>General / Other</x:v>
      </x:c>
      <x:c r="K92" s="18" t="str">
        <x:v>Emoji calculator</x:v>
      </x:c>
      <x:c r="L92" s="18" t="n">
        <x:v>1</x:v>
      </x:c>
      <x:c r="M92" s="18" t="str">
        <x:v>Easy</x:v>
      </x:c>
      <x:c r="N92" s="18" t="str">
        <x:v>Medium</x:v>
      </x:c>
      <x:c r="O92" s="18" t="str">
        <x:v>Ads</x:v>
      </x:c>
      <x:c r="P92" s="30" t="n">
        <x:f>MAX(0,100-G92)</x:f>
        <x:v>81</x:v>
      </x:c>
      <x:c r="Q92" s="30" t="n">
        <x:f>MIN(100,ROUND(LOG10(D92+1)*18,0))</x:f>
        <x:v>56</x:v>
      </x:c>
      <x:c r="R92" s="30" t="n">
        <x:f>MIN(100,ROUND(E92*12,0))</x:f>
        <x:v>0</x:v>
      </x:c>
      <x:c r="S92" s="30" t="n">
        <x:f>IF(H92="No",0,ROUND(P92*0.45+Q92*0.30+R92*0.15+IF(M92="Easy",10,IF(M92="Medium",6,2))+IF(N92="High",5,IF(N92="Medium",3,0)),1))</x:f>
        <x:v>66.3</x:v>
      </x:c>
      <x:c r="T92" s="14" t="str">
        <x:f>IF(H92="No","Exclude",IF(S92&gt;=70,"Priority 1",IF(S92&gt;=55,"Priority 2",IF(S92&gt;=40,"Priority 3","Low priority"))))</x:f>
        <x:v>Priority 2</x:v>
      </x:c>
    </x:row>
    <x:row r="93">
      <x:c r="A93" s="14" t="n">
        <x:v>92</x:v>
      </x:c>
      <x:c r="B93" s="18" t="str">
        <x:v>calculator exercises</x:v>
      </x:c>
      <x:c r="C93" s="18" t="str">
        <x:v>null</x:v>
      </x:c>
      <x:c r="D93" s="26" t="n">
        <x:v>880</x:v>
      </x:c>
      <x:c r="E93" s="28" t="n">
        <x:v>2.66</x:v>
      </x:c>
      <x:c r="F93" s="14" t="n">
        <x:v>2</x:v>
      </x:c>
      <x:c r="G93" s="14" t="n">
        <x:v>19</x:v>
      </x:c>
      <x:c r="H93" s="14" t="str">
        <x:v>Maybe</x:v>
      </x:c>
      <x:c r="I93" s="18" t="str">
        <x:v>Insufficiently specific; requires SERP validation before development</x:v>
      </x:c>
      <x:c r="J93" s="18" t="str">
        <x:v>General / Other</x:v>
      </x:c>
      <x:c r="K93" s="18" t="str">
        <x:v>Exercises calculator</x:v>
      </x:c>
      <x:c r="L93" s="18" t="n">
        <x:v>1</x:v>
      </x:c>
      <x:c r="M93" s="18" t="str">
        <x:v>Easy</x:v>
      </x:c>
      <x:c r="N93" s="18" t="str">
        <x:v>Medium</x:v>
      </x:c>
      <x:c r="O93" s="18" t="str">
        <x:v>Ads</x:v>
      </x:c>
      <x:c r="P93" s="30" t="n">
        <x:f>MAX(0,100-G93)</x:f>
        <x:v>81</x:v>
      </x:c>
      <x:c r="Q93" s="30" t="n">
        <x:f>MIN(100,ROUND(LOG10(D93+1)*18,0))</x:f>
        <x:v>53</x:v>
      </x:c>
      <x:c r="R93" s="30" t="n">
        <x:f>MIN(100,ROUND(E93*12,0))</x:f>
        <x:v>32</x:v>
      </x:c>
      <x:c r="S93" s="30" t="n">
        <x:f>IF(H93="No",0,ROUND(P93*0.45+Q93*0.30+R93*0.15+IF(M93="Easy",10,IF(M93="Medium",6,2))+IF(N93="High",5,IF(N93="Medium",3,0)),1))</x:f>
        <x:v>70.2</x:v>
      </x:c>
      <x:c r="T93" s="14" t="str">
        <x:f>IF(H93="No","Exclude",IF(S93&gt;=70,"Priority 1",IF(S93&gt;=55,"Priority 2",IF(S93&gt;=40,"Priority 3","Low priority"))))</x:f>
        <x:v>Priority 1</x:v>
      </x:c>
    </x:row>
    <x:row r="94">
      <x:c r="A94" s="14" t="n">
        <x:v>93</x:v>
      </x:c>
      <x:c r="B94" s="18" t="str">
        <x:v>calculator apk</x:v>
      </x:c>
      <x:c r="C94" s="18" t="str">
        <x:v>null</x:v>
      </x:c>
      <x:c r="D94" s="26" t="n">
        <x:v>140</x:v>
      </x:c>
      <x:c r="E94" s="28" t="n">
        <x:v>1.02</x:v>
      </x:c>
      <x:c r="F94" s="14" t="n">
        <x:v>3</x:v>
      </x:c>
      <x:c r="G94" s="14" t="n">
        <x:v>19</x:v>
      </x:c>
      <x:c r="H94" s="14" t="str">
        <x:v>Maybe</x:v>
      </x:c>
      <x:c r="I94" s="18" t="str">
        <x:v>Insufficiently specific; requires SERP validation before development</x:v>
      </x:c>
      <x:c r="J94" s="18" t="str">
        <x:v>General / Other</x:v>
      </x:c>
      <x:c r="K94" s="18" t="str">
        <x:v>Apk calculator</x:v>
      </x:c>
      <x:c r="L94" s="18" t="n">
        <x:v>1</x:v>
      </x:c>
      <x:c r="M94" s="18" t="str">
        <x:v>Easy</x:v>
      </x:c>
      <x:c r="N94" s="18" t="str">
        <x:v>Medium</x:v>
      </x:c>
      <x:c r="O94" s="18" t="str">
        <x:v>Ads</x:v>
      </x:c>
      <x:c r="P94" s="30" t="n">
        <x:f>MAX(0,100-G94)</x:f>
        <x:v>81</x:v>
      </x:c>
      <x:c r="Q94" s="30" t="n">
        <x:f>MIN(100,ROUND(LOG10(D94+1)*18,0))</x:f>
        <x:v>39</x:v>
      </x:c>
      <x:c r="R94" s="30" t="n">
        <x:f>MIN(100,ROUND(E94*12,0))</x:f>
        <x:v>12</x:v>
      </x:c>
      <x:c r="S94" s="30" t="n">
        <x:f>IF(H94="No",0,ROUND(P94*0.45+Q94*0.30+R94*0.15+IF(M94="Easy",10,IF(M94="Medium",6,2))+IF(N94="High",5,IF(N94="Medium",3,0)),1))</x:f>
        <x:v>63</x:v>
      </x:c>
      <x:c r="T94" s="14" t="str">
        <x:f>IF(H94="No","Exclude",IF(S94&gt;=70,"Priority 1",IF(S94&gt;=55,"Priority 2",IF(S94&gt;=40,"Priority 3","Low priority"))))</x:f>
        <x:v>Priority 2</x:v>
      </x:c>
    </x:row>
    <x:row r="95">
      <x:c r="A95" s="14" t="n">
        <x:v>94</x:v>
      </x:c>
      <x:c r="B95" s="18" t="str">
        <x:v>calculator 2014</x:v>
      </x:c>
      <x:c r="C95" s="18" t="str">
        <x:v>informational, transactional</x:v>
      </x:c>
      <x:c r="D95" s="26" t="n">
        <x:v>90</x:v>
      </x:c>
      <x:c r="E95" s="28" t="n">
        <x:v>0</x:v>
      </x:c>
      <x:c r="F95" s="14" t="n">
        <x:v>1</x:v>
      </x:c>
      <x:c r="G95" s="14" t="n">
        <x:v>19</x:v>
      </x:c>
      <x:c r="H95" s="14" t="str">
        <x:v>No</x:v>
      </x:c>
      <x:c r="I95" s="18" t="str">
        <x:v>Model/number query, not a distinct web calculator</x:v>
      </x:c>
      <x:c r="J95" s="18" t="str">
        <x:v>Excluded / Non-calculator</x:v>
      </x:c>
      <x:c r="K95" s="18" t="str"/>
      <x:c r="L95" s="18" t="n">
        <x:v>0</x:v>
      </x:c>
      <x:c r="M95" s="18" t="str"/>
      <x:c r="N95" s="18" t="str"/>
      <x:c r="O95" s="18" t="str"/>
      <x:c r="P95" s="30" t="n">
        <x:f>MAX(0,100-G95)</x:f>
        <x:v>81</x:v>
      </x:c>
      <x:c r="Q95" s="30" t="n">
        <x:f>MIN(100,ROUND(LOG10(D95+1)*18,0))</x:f>
        <x:v>35</x:v>
      </x:c>
      <x:c r="R95" s="30" t="n">
        <x:f>MIN(100,ROUND(E95*12,0))</x:f>
        <x:v>0</x:v>
      </x:c>
      <x:c r="S95" s="30" t="n">
        <x:f>IF(H95="No",0,ROUND(P95*0.45+Q95*0.30+R95*0.15+IF(M95="Easy",10,IF(M95="Medium",6,2))+IF(N95="High",5,IF(N95="Medium",3,0)),1))</x:f>
        <x:v>0</x:v>
      </x:c>
      <x:c r="T95" s="14" t="str">
        <x:f>IF(H95="No","Exclude",IF(S95&gt;=70,"Priority 1",IF(S95&gt;=55,"Priority 2",IF(S95&gt;=40,"Priority 3","Low priority"))))</x:f>
        <x:v>Exclude</x:v>
      </x:c>
    </x:row>
    <x:row r="96">
      <x:c r="A96" s="14" t="n">
        <x:v>95</x:v>
      </x:c>
      <x:c r="B96" s="18" t="str">
        <x:v>calculator running</x:v>
      </x:c>
      <x:c r="C96" s="18" t="str">
        <x:v>null</x:v>
      </x:c>
      <x:c r="D96" s="26" t="n">
        <x:v>3600</x:v>
      </x:c>
      <x:c r="E96" s="28" t="n">
        <x:v>2.3</x:v>
      </x:c>
      <x:c r="F96" s="14" t="n">
        <x:v>1</x:v>
      </x:c>
      <x:c r="G96" s="14" t="n">
        <x:v>20</x:v>
      </x:c>
      <x:c r="H96" s="14" t="str">
        <x:v>Maybe</x:v>
      </x:c>
      <x:c r="I96" s="18" t="str">
        <x:v>Insufficiently specific; requires SERP validation before development</x:v>
      </x:c>
      <x:c r="J96" s="18" t="str">
        <x:v>General / Other</x:v>
      </x:c>
      <x:c r="K96" s="18" t="str">
        <x:v>Running calculator</x:v>
      </x:c>
      <x:c r="L96" s="18" t="n">
        <x:v>1</x:v>
      </x:c>
      <x:c r="M96" s="18" t="str">
        <x:v>Easy</x:v>
      </x:c>
      <x:c r="N96" s="18" t="str">
        <x:v>Medium</x:v>
      </x:c>
      <x:c r="O96" s="18" t="str">
        <x:v>Ads</x:v>
      </x:c>
      <x:c r="P96" s="30" t="n">
        <x:f>MAX(0,100-G96)</x:f>
        <x:v>80</x:v>
      </x:c>
      <x:c r="Q96" s="30" t="n">
        <x:f>MIN(100,ROUND(LOG10(D96+1)*18,0))</x:f>
        <x:v>64</x:v>
      </x:c>
      <x:c r="R96" s="30" t="n">
        <x:f>MIN(100,ROUND(E96*12,0))</x:f>
        <x:v>28</x:v>
      </x:c>
      <x:c r="S96" s="30" t="n">
        <x:f>IF(H96="No",0,ROUND(P96*0.45+Q96*0.30+R96*0.15+IF(M96="Easy",10,IF(M96="Medium",6,2))+IF(N96="High",5,IF(N96="Medium",3,0)),1))</x:f>
        <x:v>72.4</x:v>
      </x:c>
      <x:c r="T96" s="14" t="str">
        <x:f>IF(H96="No","Exclude",IF(S96&gt;=70,"Priority 1",IF(S96&gt;=55,"Priority 2",IF(S96&gt;=40,"Priority 3","Low priority"))))</x:f>
        <x:v>Priority 1</x:v>
      </x:c>
    </x:row>
    <x:row r="97">
      <x:c r="A97" s="14" t="n">
        <x:v>96</x:v>
      </x:c>
      <x:c r="B97" s="18" t="str">
        <x:v>calculator on asvab</x:v>
      </x:c>
      <x:c r="C97" s="18" t="str">
        <x:v>informational</x:v>
      </x:c>
      <x:c r="D97" s="26" t="n">
        <x:v>1000</x:v>
      </x:c>
      <x:c r="E97" s="28" t="n">
        <x:v>4.73</x:v>
      </x:c>
      <x:c r="F97" s="14" t="n">
        <x:v>1</x:v>
      </x:c>
      <x:c r="G97" s="14" t="n">
        <x:v>20</x:v>
      </x:c>
      <x:c r="H97" s="14" t="str">
        <x:v>Maybe</x:v>
      </x:c>
      <x:c r="I97" s="18" t="str">
        <x:v>Insufficiently specific; requires SERP validation before development</x:v>
      </x:c>
      <x:c r="J97" s="18" t="str">
        <x:v>General / Other</x:v>
      </x:c>
      <x:c r="K97" s="18" t="str">
        <x:v>On Asvab calculator</x:v>
      </x:c>
      <x:c r="L97" s="18" t="n">
        <x:v>1</x:v>
      </x:c>
      <x:c r="M97" s="18" t="str">
        <x:v>Easy</x:v>
      </x:c>
      <x:c r="N97" s="18" t="str">
        <x:v>Medium</x:v>
      </x:c>
      <x:c r="O97" s="18" t="str">
        <x:v>Ads</x:v>
      </x:c>
      <x:c r="P97" s="30" t="n">
        <x:f>MAX(0,100-G97)</x:f>
        <x:v>80</x:v>
      </x:c>
      <x:c r="Q97" s="30" t="n">
        <x:f>MIN(100,ROUND(LOG10(D97+1)*18,0))</x:f>
        <x:v>54</x:v>
      </x:c>
      <x:c r="R97" s="30" t="n">
        <x:f>MIN(100,ROUND(E97*12,0))</x:f>
        <x:v>57</x:v>
      </x:c>
      <x:c r="S97" s="30" t="n">
        <x:f>IF(H97="No",0,ROUND(P97*0.45+Q97*0.30+R97*0.15+IF(M97="Easy",10,IF(M97="Medium",6,2))+IF(N97="High",5,IF(N97="Medium",3,0)),1))</x:f>
        <x:v>73.8</x:v>
      </x:c>
      <x:c r="T97" s="14" t="str">
        <x:f>IF(H97="No","Exclude",IF(S97&gt;=70,"Priority 1",IF(S97&gt;=55,"Priority 2",IF(S97&gt;=40,"Priority 3","Low priority"))))</x:f>
        <x:v>Priority 1</x:v>
      </x:c>
    </x:row>
    <x:row r="98">
      <x:c r="A98" s="14" t="n">
        <x:v>97</x:v>
      </x:c>
      <x:c r="B98" s="18" t="str">
        <x:v>calculator job</x:v>
      </x:c>
      <x:c r="C98" s="18" t="str">
        <x:v>null</x:v>
      </x:c>
      <x:c r="D98" s="26" t="n">
        <x:v>880</x:v>
      </x:c>
      <x:c r="E98" s="28" t="n">
        <x:v>5.07</x:v>
      </x:c>
      <x:c r="F98" s="14" t="n">
        <x:v>4</x:v>
      </x:c>
      <x:c r="G98" s="14" t="n">
        <x:v>20</x:v>
      </x:c>
      <x:c r="H98" s="14" t="str">
        <x:v>Maybe</x:v>
      </x:c>
      <x:c r="I98" s="18" t="str">
        <x:v>Insufficiently specific; requires SERP validation before development</x:v>
      </x:c>
      <x:c r="J98" s="18" t="str">
        <x:v>General / Other</x:v>
      </x:c>
      <x:c r="K98" s="18" t="str">
        <x:v>Job calculator</x:v>
      </x:c>
      <x:c r="L98" s="18" t="n">
        <x:v>1</x:v>
      </x:c>
      <x:c r="M98" s="18" t="str">
        <x:v>Easy</x:v>
      </x:c>
      <x:c r="N98" s="18" t="str">
        <x:v>Medium</x:v>
      </x:c>
      <x:c r="O98" s="18" t="str">
        <x:v>Ads</x:v>
      </x:c>
      <x:c r="P98" s="30" t="n">
        <x:f>MAX(0,100-G98)</x:f>
        <x:v>80</x:v>
      </x:c>
      <x:c r="Q98" s="30" t="n">
        <x:f>MIN(100,ROUND(LOG10(D98+1)*18,0))</x:f>
        <x:v>53</x:v>
      </x:c>
      <x:c r="R98" s="30" t="n">
        <x:f>MIN(100,ROUND(E98*12,0))</x:f>
        <x:v>61</x:v>
      </x:c>
      <x:c r="S98" s="30" t="n">
        <x:f>IF(H98="No",0,ROUND(P98*0.45+Q98*0.30+R98*0.15+IF(M98="Easy",10,IF(M98="Medium",6,2))+IF(N98="High",5,IF(N98="Medium",3,0)),1))</x:f>
        <x:v>74.1</x:v>
      </x:c>
      <x:c r="T98" s="14" t="str">
        <x:f>IF(H98="No","Exclude",IF(S98&gt;=70,"Priority 1",IF(S98&gt;=55,"Priority 2",IF(S98&gt;=40,"Priority 3","Low priority"))))</x:f>
        <x:v>Priority 1</x:v>
      </x:c>
    </x:row>
    <x:row r="99">
      <x:c r="A99" s="14" t="n">
        <x:v>98</x:v>
      </x:c>
      <x:c r="B99" s="18" t="str">
        <x:v>calculator questions</x:v>
      </x:c>
      <x:c r="C99" s="18" t="str">
        <x:v>informational</x:v>
      </x:c>
      <x:c r="D99" s="26" t="n">
        <x:v>210</x:v>
      </x:c>
      <x:c r="E99" s="28" t="n">
        <x:v>0</x:v>
      </x:c>
      <x:c r="F99" s="14" t="n">
        <x:v>1</x:v>
      </x:c>
      <x:c r="G99" s="14" t="n">
        <x:v>20</x:v>
      </x:c>
      <x:c r="H99" s="14" t="str">
        <x:v>Maybe</x:v>
      </x:c>
      <x:c r="I99" s="18" t="str">
        <x:v>Insufficiently specific; requires SERP validation before development</x:v>
      </x:c>
      <x:c r="J99" s="18" t="str">
        <x:v>General / Other</x:v>
      </x:c>
      <x:c r="K99" s="18" t="str">
        <x:v>Questions calculator</x:v>
      </x:c>
      <x:c r="L99" s="18" t="n">
        <x:v>1</x:v>
      </x:c>
      <x:c r="M99" s="18" t="str">
        <x:v>Easy</x:v>
      </x:c>
      <x:c r="N99" s="18" t="str">
        <x:v>Medium</x:v>
      </x:c>
      <x:c r="O99" s="18" t="str">
        <x:v>Ads</x:v>
      </x:c>
      <x:c r="P99" s="30" t="n">
        <x:f>MAX(0,100-G99)</x:f>
        <x:v>80</x:v>
      </x:c>
      <x:c r="Q99" s="30" t="n">
        <x:f>MIN(100,ROUND(LOG10(D99+1)*18,0))</x:f>
        <x:v>42</x:v>
      </x:c>
      <x:c r="R99" s="30" t="n">
        <x:f>MIN(100,ROUND(E99*12,0))</x:f>
        <x:v>0</x:v>
      </x:c>
      <x:c r="S99" s="30" t="n">
        <x:f>IF(H99="No",0,ROUND(P99*0.45+Q99*0.30+R99*0.15+IF(M99="Easy",10,IF(M99="Medium",6,2))+IF(N99="High",5,IF(N99="Medium",3,0)),1))</x:f>
        <x:v>61.6</x:v>
      </x:c>
      <x:c r="T99" s="14" t="str">
        <x:f>IF(H99="No","Exclude",IF(S99&gt;=70,"Priority 1",IF(S99&gt;=55,"Priority 2",IF(S99&gt;=40,"Priority 3","Low priority"))))</x:f>
        <x:v>Priority 2</x:v>
      </x:c>
    </x:row>
    <x:row r="100">
      <x:c r="A100" s="14" t="n">
        <x:v>99</x:v>
      </x:c>
      <x:c r="B100" s="18" t="str">
        <x:v>calculator money converter</x:v>
      </x:c>
      <x:c r="C100" s="18" t="str">
        <x:v>null</x:v>
      </x:c>
      <x:c r="D100" s="26" t="n">
        <x:v>22200</x:v>
      </x:c>
      <x:c r="E100" s="28" t="n">
        <x:v>0.3</x:v>
      </x:c>
      <x:c r="F100" s="14" t="n">
        <x:v>4</x:v>
      </x:c>
      <x:c r="G100" s="14" t="n">
        <x:v>21</x:v>
      </x:c>
      <x:c r="H100" s="14" t="str">
        <x:v>Maybe</x:v>
      </x:c>
      <x:c r="I100" s="18" t="str">
        <x:v>Insufficiently specific; requires SERP validation before development</x:v>
      </x:c>
      <x:c r="J100" s="18" t="str">
        <x:v>General / Other</x:v>
      </x:c>
      <x:c r="K100" s="18" t="str">
        <x:v>Money Converter</x:v>
      </x:c>
      <x:c r="L100" s="18" t="n">
        <x:v>1</x:v>
      </x:c>
      <x:c r="M100" s="18" t="str">
        <x:v>Easy</x:v>
      </x:c>
      <x:c r="N100" s="18" t="str">
        <x:v>Medium</x:v>
      </x:c>
      <x:c r="O100" s="18" t="str">
        <x:v>Ads</x:v>
      </x:c>
      <x:c r="P100" s="30" t="n">
        <x:f>MAX(0,100-G100)</x:f>
        <x:v>79</x:v>
      </x:c>
      <x:c r="Q100" s="30" t="n">
        <x:f>MIN(100,ROUND(LOG10(D100+1)*18,0))</x:f>
        <x:v>78</x:v>
      </x:c>
      <x:c r="R100" s="30" t="n">
        <x:f>MIN(100,ROUND(E100*12,0))</x:f>
        <x:v>4</x:v>
      </x:c>
      <x:c r="S100" s="30" t="n">
        <x:f>IF(H100="No",0,ROUND(P100*0.45+Q100*0.30+R100*0.15+IF(M100="Easy",10,IF(M100="Medium",6,2))+IF(N100="High",5,IF(N100="Medium",3,0)),1))</x:f>
        <x:v>72.6</x:v>
      </x:c>
      <x:c r="T100" s="14" t="str">
        <x:f>IF(H100="No","Exclude",IF(S100&gt;=70,"Priority 1",IF(S100&gt;=55,"Priority 2",IF(S100&gt;=40,"Priority 3","Low priority"))))</x:f>
        <x:v>Priority 1</x:v>
      </x:c>
    </x:row>
    <x:row r="101">
      <x:c r="A101" s="14" t="n">
        <x:v>100</x:v>
      </x:c>
      <x:c r="B101" s="18" t="str">
        <x:v>calculator emi</x:v>
      </x:c>
      <x:c r="C101" s="18" t="str">
        <x:v>null</x:v>
      </x:c>
      <x:c r="D101" s="26" t="n">
        <x:v>9900</x:v>
      </x:c>
      <x:c r="E101" s="28" t="n">
        <x:v>2.5</x:v>
      </x:c>
      <x:c r="F101" s="14" t="n">
        <x:v>3</x:v>
      </x:c>
      <x:c r="G101" s="14" t="n">
        <x:v>21</x:v>
      </x:c>
      <x:c r="H101" s="14" t="str">
        <x:v>Maybe</x:v>
      </x:c>
      <x:c r="I101" s="18" t="str">
        <x:v>Insufficiently specific; requires SERP validation before development</x:v>
      </x:c>
      <x:c r="J101" s="18" t="str">
        <x:v>General / Other</x:v>
      </x:c>
      <x:c r="K101" s="18" t="str">
        <x:v>Emi calculator</x:v>
      </x:c>
      <x:c r="L101" s="18" t="n">
        <x:v>1</x:v>
      </x:c>
      <x:c r="M101" s="18" t="str">
        <x:v>Easy</x:v>
      </x:c>
      <x:c r="N101" s="18" t="str">
        <x:v>Medium</x:v>
      </x:c>
      <x:c r="O101" s="18" t="str">
        <x:v>Ads</x:v>
      </x:c>
      <x:c r="P101" s="30" t="n">
        <x:f>MAX(0,100-G101)</x:f>
        <x:v>79</x:v>
      </x:c>
      <x:c r="Q101" s="30" t="n">
        <x:f>MIN(100,ROUND(LOG10(D101+1)*18,0))</x:f>
        <x:v>72</x:v>
      </x:c>
      <x:c r="R101" s="30" t="n">
        <x:f>MIN(100,ROUND(E101*12,0))</x:f>
        <x:v>30</x:v>
      </x:c>
      <x:c r="S101" s="30" t="n">
        <x:f>IF(H101="No",0,ROUND(P101*0.45+Q101*0.30+R101*0.15+IF(M101="Easy",10,IF(M101="Medium",6,2))+IF(N101="High",5,IF(N101="Medium",3,0)),1))</x:f>
        <x:v>74.7</x:v>
      </x:c>
      <x:c r="T101" s="14" t="str">
        <x:f>IF(H101="No","Exclude",IF(S101&gt;=70,"Priority 1",IF(S101&gt;=55,"Priority 2",IF(S101&gt;=40,"Priority 3","Low priority"))))</x:f>
        <x:v>Priority 1</x:v>
      </x:c>
    </x:row>
    <x:row r="102">
      <x:c r="A102" s="14" t="n">
        <x:v>101</x:v>
      </x:c>
      <x:c r="B102" s="18" t="str">
        <x:v>calculator holder</x:v>
      </x:c>
      <x:c r="C102" s="18" t="str">
        <x:v>transactional</x:v>
      </x:c>
      <x:c r="D102" s="26" t="n">
        <x:v>390</x:v>
      </x:c>
      <x:c r="E102" s="28" t="n">
        <x:v>0.37</x:v>
      </x:c>
      <x:c r="F102" s="14" t="n">
        <x:v>74</x:v>
      </x:c>
      <x:c r="G102" s="14" t="n">
        <x:v>21</x:v>
      </x:c>
      <x:c r="H102" s="14" t="str">
        <x:v>Maybe</x:v>
      </x:c>
      <x:c r="I102" s="18" t="str">
        <x:v>Insufficiently specific; requires SERP validation before development</x:v>
      </x:c>
      <x:c r="J102" s="18" t="str">
        <x:v>General / Other</x:v>
      </x:c>
      <x:c r="K102" s="18" t="str">
        <x:v>Holder calculator</x:v>
      </x:c>
      <x:c r="L102" s="18" t="n">
        <x:v>1</x:v>
      </x:c>
      <x:c r="M102" s="18" t="str">
        <x:v>Easy</x:v>
      </x:c>
      <x:c r="N102" s="18" t="str">
        <x:v>Medium</x:v>
      </x:c>
      <x:c r="O102" s="18" t="str">
        <x:v>Ads</x:v>
      </x:c>
      <x:c r="P102" s="30" t="n">
        <x:f>MAX(0,100-G102)</x:f>
        <x:v>79</x:v>
      </x:c>
      <x:c r="Q102" s="30" t="n">
        <x:f>MIN(100,ROUND(LOG10(D102+1)*18,0))</x:f>
        <x:v>47</x:v>
      </x:c>
      <x:c r="R102" s="30" t="n">
        <x:f>MIN(100,ROUND(E102*12,0))</x:f>
        <x:v>4</x:v>
      </x:c>
      <x:c r="S102" s="30" t="n">
        <x:f>IF(H102="No",0,ROUND(P102*0.45+Q102*0.30+R102*0.15+IF(M102="Easy",10,IF(M102="Medium",6,2))+IF(N102="High",5,IF(N102="Medium",3,0)),1))</x:f>
        <x:v>63.3</x:v>
      </x:c>
      <x:c r="T102" s="14" t="str">
        <x:f>IF(H102="No","Exclude",IF(S102&gt;=70,"Priority 1",IF(S102&gt;=55,"Priority 2",IF(S102&gt;=40,"Priority 3","Low priority"))))</x:f>
        <x:v>Priority 2</x:v>
      </x:c>
    </x:row>
    <x:row r="103">
      <x:c r="A103" s="14" t="n">
        <x:v>102</x:v>
      </x:c>
      <x:c r="B103" s="18" t="str">
        <x:v>calculator ribbon</x:v>
      </x:c>
      <x:c r="C103" s="18" t="str">
        <x:v>transactional</x:v>
      </x:c>
      <x:c r="D103" s="26" t="n">
        <x:v>390</x:v>
      </x:c>
      <x:c r="E103" s="28" t="n">
        <x:v>1.05</x:v>
      </x:c>
      <x:c r="F103" s="14" t="n">
        <x:v>54</x:v>
      </x:c>
      <x:c r="G103" s="14" t="n">
        <x:v>21</x:v>
      </x:c>
      <x:c r="H103" s="14" t="str">
        <x:v>Maybe</x:v>
      </x:c>
      <x:c r="I103" s="18" t="str">
        <x:v>Insufficiently specific; requires SERP validation before development</x:v>
      </x:c>
      <x:c r="J103" s="18" t="str">
        <x:v>General / Other</x:v>
      </x:c>
      <x:c r="K103" s="18" t="str">
        <x:v>Ribbon calculator</x:v>
      </x:c>
      <x:c r="L103" s="18" t="n">
        <x:v>1</x:v>
      </x:c>
      <x:c r="M103" s="18" t="str">
        <x:v>Easy</x:v>
      </x:c>
      <x:c r="N103" s="18" t="str">
        <x:v>Medium</x:v>
      </x:c>
      <x:c r="O103" s="18" t="str">
        <x:v>Ads</x:v>
      </x:c>
      <x:c r="P103" s="30" t="n">
        <x:f>MAX(0,100-G103)</x:f>
        <x:v>79</x:v>
      </x:c>
      <x:c r="Q103" s="30" t="n">
        <x:f>MIN(100,ROUND(LOG10(D103+1)*18,0))</x:f>
        <x:v>47</x:v>
      </x:c>
      <x:c r="R103" s="30" t="n">
        <x:f>MIN(100,ROUND(E103*12,0))</x:f>
        <x:v>13</x:v>
      </x:c>
      <x:c r="S103" s="30" t="n">
        <x:f>IF(H103="No",0,ROUND(P103*0.45+Q103*0.30+R103*0.15+IF(M103="Easy",10,IF(M103="Medium",6,2))+IF(N103="High",5,IF(N103="Medium",3,0)),1))</x:f>
        <x:v>64.6</x:v>
      </x:c>
      <x:c r="T103" s="14" t="str">
        <x:f>IF(H103="No","Exclude",IF(S103&gt;=70,"Priority 1",IF(S103&gt;=55,"Priority 2",IF(S103&gt;=40,"Priority 3","Low priority"))))</x:f>
        <x:v>Priority 2</x:v>
      </x:c>
    </x:row>
    <x:row r="104">
      <x:c r="A104" s="14" t="n">
        <x:v>103</x:v>
      </x:c>
      <x:c r="B104" s="18" t="str">
        <x:v>calculator in german</x:v>
      </x:c>
      <x:c r="C104" s="18" t="str">
        <x:v>informational</x:v>
      </x:c>
      <x:c r="D104" s="26" t="n">
        <x:v>260</x:v>
      </x:c>
      <x:c r="E104" s="28" t="n">
        <x:v>0</x:v>
      </x:c>
      <x:c r="F104" s="14" t="n">
        <x:v>1</x:v>
      </x:c>
      <x:c r="G104" s="14" t="n">
        <x:v>21</x:v>
      </x:c>
      <x:c r="H104" s="14" t="str">
        <x:v>Maybe</x:v>
      </x:c>
      <x:c r="I104" s="18" t="str">
        <x:v>Insufficiently specific; requires SERP validation before development</x:v>
      </x:c>
      <x:c r="J104" s="18" t="str">
        <x:v>General / Other</x:v>
      </x:c>
      <x:c r="K104" s="18" t="str">
        <x:v>In German calculator</x:v>
      </x:c>
      <x:c r="L104" s="18" t="n">
        <x:v>1</x:v>
      </x:c>
      <x:c r="M104" s="18" t="str">
        <x:v>Easy</x:v>
      </x:c>
      <x:c r="N104" s="18" t="str">
        <x:v>Medium</x:v>
      </x:c>
      <x:c r="O104" s="18" t="str">
        <x:v>Ads</x:v>
      </x:c>
      <x:c r="P104" s="30" t="n">
        <x:f>MAX(0,100-G104)</x:f>
        <x:v>79</x:v>
      </x:c>
      <x:c r="Q104" s="30" t="n">
        <x:f>MIN(100,ROUND(LOG10(D104+1)*18,0))</x:f>
        <x:v>43</x:v>
      </x:c>
      <x:c r="R104" s="30" t="n">
        <x:f>MIN(100,ROUND(E104*12,0))</x:f>
        <x:v>0</x:v>
      </x:c>
      <x:c r="S104" s="30" t="n">
        <x:f>IF(H104="No",0,ROUND(P104*0.45+Q104*0.30+R104*0.15+IF(M104="Easy",10,IF(M104="Medium",6,2))+IF(N104="High",5,IF(N104="Medium",3,0)),1))</x:f>
        <x:v>61.5</x:v>
      </x:c>
      <x:c r="T104" s="14" t="str">
        <x:f>IF(H104="No","Exclude",IF(S104&gt;=70,"Priority 1",IF(S104&gt;=55,"Priority 2",IF(S104&gt;=40,"Priority 3","Low priority"))))</x:f>
        <x:v>Priority 2</x:v>
      </x:c>
    </x:row>
    <x:row r="105">
      <x:c r="A105" s="14" t="n">
        <x:v>104</x:v>
      </x:c>
      <x:c r="B105" s="18" t="str">
        <x:v>calculator rental</x:v>
      </x:c>
      <x:c r="C105" s="18" t="str">
        <x:v>transactional</x:v>
      </x:c>
      <x:c r="D105" s="26" t="n">
        <x:v>170</x:v>
      </x:c>
      <x:c r="E105" s="28" t="n">
        <x:v>0</x:v>
      </x:c>
      <x:c r="F105" s="14" t="n">
        <x:v>2</x:v>
      </x:c>
      <x:c r="G105" s="14" t="n">
        <x:v>21</x:v>
      </x:c>
      <x:c r="H105" s="14" t="str">
        <x:v>Maybe</x:v>
      </x:c>
      <x:c r="I105" s="18" t="str">
        <x:v>Insufficiently specific; requires SERP validation before development</x:v>
      </x:c>
      <x:c r="J105" s="18" t="str">
        <x:v>General / Other</x:v>
      </x:c>
      <x:c r="K105" s="18" t="str">
        <x:v>Rental calculator</x:v>
      </x:c>
      <x:c r="L105" s="18" t="n">
        <x:v>1</x:v>
      </x:c>
      <x:c r="M105" s="18" t="str">
        <x:v>Easy</x:v>
      </x:c>
      <x:c r="N105" s="18" t="str">
        <x:v>Medium</x:v>
      </x:c>
      <x:c r="O105" s="18" t="str">
        <x:v>Ads</x:v>
      </x:c>
      <x:c r="P105" s="30" t="n">
        <x:f>MAX(0,100-G105)</x:f>
        <x:v>79</x:v>
      </x:c>
      <x:c r="Q105" s="30" t="n">
        <x:f>MIN(100,ROUND(LOG10(D105+1)*18,0))</x:f>
        <x:v>40</x:v>
      </x:c>
      <x:c r="R105" s="30" t="n">
        <x:f>MIN(100,ROUND(E105*12,0))</x:f>
        <x:v>0</x:v>
      </x:c>
      <x:c r="S105" s="30" t="n">
        <x:f>IF(H105="No",0,ROUND(P105*0.45+Q105*0.30+R105*0.15+IF(M105="Easy",10,IF(M105="Medium",6,2))+IF(N105="High",5,IF(N105="Medium",3,0)),1))</x:f>
        <x:v>60.6</x:v>
      </x:c>
      <x:c r="T105" s="14" t="str">
        <x:f>IF(H105="No","Exclude",IF(S105&gt;=70,"Priority 1",IF(S105&gt;=55,"Priority 2",IF(S105&gt;=40,"Priority 3","Low priority"))))</x:f>
        <x:v>Priority 2</x:v>
      </x:c>
    </x:row>
    <x:row r="106">
      <x:c r="A106" s="14" t="n">
        <x:v>105</x:v>
      </x:c>
      <x:c r="B106" s="18" t="str">
        <x:v>calculator quiz</x:v>
      </x:c>
      <x:c r="C106" s="18" t="str">
        <x:v>informational</x:v>
      </x:c>
      <x:c r="D106" s="26" t="n">
        <x:v>90</x:v>
      </x:c>
      <x:c r="E106" s="28" t="n">
        <x:v>30.03</x:v>
      </x:c>
      <x:c r="F106" s="14" t="n">
        <x:v>1</x:v>
      </x:c>
      <x:c r="G106" s="14" t="n">
        <x:v>21</x:v>
      </x:c>
      <x:c r="H106" s="14" t="str">
        <x:v>Maybe</x:v>
      </x:c>
      <x:c r="I106" s="18" t="str">
        <x:v>Insufficiently specific; requires SERP validation before development</x:v>
      </x:c>
      <x:c r="J106" s="18" t="str">
        <x:v>General / Other</x:v>
      </x:c>
      <x:c r="K106" s="18" t="str">
        <x:v>Quiz calculator</x:v>
      </x:c>
      <x:c r="L106" s="18" t="n">
        <x:v>1</x:v>
      </x:c>
      <x:c r="M106" s="18" t="str">
        <x:v>Easy</x:v>
      </x:c>
      <x:c r="N106" s="18" t="str">
        <x:v>Medium</x:v>
      </x:c>
      <x:c r="O106" s="18" t="str">
        <x:v>Ads</x:v>
      </x:c>
      <x:c r="P106" s="30" t="n">
        <x:f>MAX(0,100-G106)</x:f>
        <x:v>79</x:v>
      </x:c>
      <x:c r="Q106" s="30" t="n">
        <x:f>MIN(100,ROUND(LOG10(D106+1)*18,0))</x:f>
        <x:v>35</x:v>
      </x:c>
      <x:c r="R106" s="30" t="n">
        <x:f>MIN(100,ROUND(E106*12,0))</x:f>
        <x:v>100</x:v>
      </x:c>
      <x:c r="S106" s="30" t="n">
        <x:f>IF(H106="No",0,ROUND(P106*0.45+Q106*0.30+R106*0.15+IF(M106="Easy",10,IF(M106="Medium",6,2))+IF(N106="High",5,IF(N106="Medium",3,0)),1))</x:f>
        <x:v>74.1</x:v>
      </x:c>
      <x:c r="T106" s="14" t="str">
        <x:f>IF(H106="No","Exclude",IF(S106&gt;=70,"Priority 1",IF(S106&gt;=55,"Priority 2",IF(S106&gt;=40,"Priority 3","Low priority"))))</x:f>
        <x:v>Priority 1</x:v>
      </x:c>
    </x:row>
    <x:row r="107">
      <x:c r="A107" s="14" t="n">
        <x:v>106</x:v>
      </x:c>
      <x:c r="B107" s="18" t="str">
        <x:v>calculator 2000</x:v>
      </x:c>
      <x:c r="C107" s="18" t="str">
        <x:v>null</x:v>
      </x:c>
      <x:c r="D107" s="26" t="n">
        <x:v>20</x:v>
      </x:c>
      <x:c r="E107" s="28" t="n">
        <x:v>0</x:v>
      </x:c>
      <x:c r="F107" s="14" t="n">
        <x:v>7</x:v>
      </x:c>
      <x:c r="G107" s="14" t="n">
        <x:v>21</x:v>
      </x:c>
      <x:c r="H107" s="14" t="str">
        <x:v>No</x:v>
      </x:c>
      <x:c r="I107" s="18" t="str">
        <x:v>Model/number query, not a distinct web calculator</x:v>
      </x:c>
      <x:c r="J107" s="18" t="str">
        <x:v>Excluded / Non-calculator</x:v>
      </x:c>
      <x:c r="K107" s="18" t="str"/>
      <x:c r="L107" s="18" t="n">
        <x:v>0</x:v>
      </x:c>
      <x:c r="M107" s="18" t="str"/>
      <x:c r="N107" s="18" t="str"/>
      <x:c r="O107" s="18" t="str"/>
      <x:c r="P107" s="30" t="n">
        <x:f>MAX(0,100-G107)</x:f>
        <x:v>79</x:v>
      </x:c>
      <x:c r="Q107" s="30" t="n">
        <x:f>MIN(100,ROUND(LOG10(D107+1)*18,0))</x:f>
        <x:v>24</x:v>
      </x:c>
      <x:c r="R107" s="30" t="n">
        <x:f>MIN(100,ROUND(E107*12,0))</x:f>
        <x:v>0</x:v>
      </x:c>
      <x:c r="S107" s="30" t="n">
        <x:f>IF(H107="No",0,ROUND(P107*0.45+Q107*0.30+R107*0.15+IF(M107="Easy",10,IF(M107="Medium",6,2))+IF(N107="High",5,IF(N107="Medium",3,0)),1))</x:f>
        <x:v>0</x:v>
      </x:c>
      <x:c r="T107" s="14" t="str">
        <x:f>IF(H107="No","Exclude",IF(S107&gt;=70,"Priority 1",IF(S107&gt;=55,"Priority 2",IF(S107&gt;=40,"Priority 3","Low priority"))))</x:f>
        <x:v>Exclude</x:v>
      </x:c>
    </x:row>
    <x:row r="108">
      <x:c r="A108" s="14" t="n">
        <x:v>107</x:v>
      </x:c>
      <x:c r="B108" s="18" t="str">
        <x:v>calculator gas cost</x:v>
      </x:c>
      <x:c r="C108" s="18" t="str">
        <x:v>null</x:v>
      </x:c>
      <x:c r="D108" s="26" t="n">
        <x:v>33100</x:v>
      </x:c>
      <x:c r="E108" s="28" t="n">
        <x:v>4.38</x:v>
      </x:c>
      <x:c r="F108" s="14" t="n">
        <x:v>1</x:v>
      </x:c>
      <x:c r="G108" s="14" t="n">
        <x:v>22</x:v>
      </x:c>
      <x:c r="H108" s="14" t="str">
        <x:v>Maybe</x:v>
      </x:c>
      <x:c r="I108" s="18" t="str">
        <x:v>Insufficiently specific; requires SERP validation before development</x:v>
      </x:c>
      <x:c r="J108" s="18" t="str">
        <x:v>General / Other</x:v>
      </x:c>
      <x:c r="K108" s="18" t="str">
        <x:v>Gas Cost calculator</x:v>
      </x:c>
      <x:c r="L108" s="18" t="n">
        <x:v>1</x:v>
      </x:c>
      <x:c r="M108" s="18" t="str">
        <x:v>Easy</x:v>
      </x:c>
      <x:c r="N108" s="18" t="str">
        <x:v>Medium</x:v>
      </x:c>
      <x:c r="O108" s="18" t="str">
        <x:v>Ads</x:v>
      </x:c>
      <x:c r="P108" s="30" t="n">
        <x:f>MAX(0,100-G108)</x:f>
        <x:v>78</x:v>
      </x:c>
      <x:c r="Q108" s="30" t="n">
        <x:f>MIN(100,ROUND(LOG10(D108+1)*18,0))</x:f>
        <x:v>81</x:v>
      </x:c>
      <x:c r="R108" s="30" t="n">
        <x:f>MIN(100,ROUND(E108*12,0))</x:f>
        <x:v>53</x:v>
      </x:c>
      <x:c r="S108" s="30" t="n">
        <x:f>IF(H108="No",0,ROUND(P108*0.45+Q108*0.30+R108*0.15+IF(M108="Easy",10,IF(M108="Medium",6,2))+IF(N108="High",5,IF(N108="Medium",3,0)),1))</x:f>
        <x:v>80.4</x:v>
      </x:c>
      <x:c r="T108" s="14" t="str">
        <x:f>IF(H108="No","Exclude",IF(S108&gt;=70,"Priority 1",IF(S108&gt;=55,"Priority 2",IF(S108&gt;=40,"Priority 3","Low priority"))))</x:f>
        <x:v>Priority 1</x:v>
      </x:c>
    </x:row>
    <x:row r="109">
      <x:c r="A109" s="14" t="n">
        <x:v>108</x:v>
      </x:c>
      <x:c r="B109" s="18" t="str">
        <x:v>calculator ring</x:v>
      </x:c>
      <x:c r="C109" s="18" t="str">
        <x:v>null</x:v>
      </x:c>
      <x:c r="D109" s="26" t="n">
        <x:v>170</x:v>
      </x:c>
      <x:c r="E109" s="28" t="n">
        <x:v>1.98</x:v>
      </x:c>
      <x:c r="F109" s="14" t="n">
        <x:v>12</x:v>
      </x:c>
      <x:c r="G109" s="14" t="n">
        <x:v>22</x:v>
      </x:c>
      <x:c r="H109" s="14" t="str">
        <x:v>Maybe</x:v>
      </x:c>
      <x:c r="I109" s="18" t="str">
        <x:v>Insufficiently specific; requires SERP validation before development</x:v>
      </x:c>
      <x:c r="J109" s="18" t="str">
        <x:v>General / Other</x:v>
      </x:c>
      <x:c r="K109" s="18" t="str">
        <x:v>Ring calculator</x:v>
      </x:c>
      <x:c r="L109" s="18" t="n">
        <x:v>1</x:v>
      </x:c>
      <x:c r="M109" s="18" t="str">
        <x:v>Easy</x:v>
      </x:c>
      <x:c r="N109" s="18" t="str">
        <x:v>Medium</x:v>
      </x:c>
      <x:c r="O109" s="18" t="str">
        <x:v>Ads</x:v>
      </x:c>
      <x:c r="P109" s="30" t="n">
        <x:f>MAX(0,100-G109)</x:f>
        <x:v>78</x:v>
      </x:c>
      <x:c r="Q109" s="30" t="n">
        <x:f>MIN(100,ROUND(LOG10(D109+1)*18,0))</x:f>
        <x:v>40</x:v>
      </x:c>
      <x:c r="R109" s="30" t="n">
        <x:f>MIN(100,ROUND(E109*12,0))</x:f>
        <x:v>24</x:v>
      </x:c>
      <x:c r="S109" s="30" t="n">
        <x:f>IF(H109="No",0,ROUND(P109*0.45+Q109*0.30+R109*0.15+IF(M109="Easy",10,IF(M109="Medium",6,2))+IF(N109="High",5,IF(N109="Medium",3,0)),1))</x:f>
        <x:v>63.7</x:v>
      </x:c>
      <x:c r="T109" s="14" t="str">
        <x:f>IF(H109="No","Exclude",IF(S109&gt;=70,"Priority 1",IF(S109&gt;=55,"Priority 2",IF(S109&gt;=40,"Priority 3","Low priority"))))</x:f>
        <x:v>Priority 2</x:v>
      </x:c>
    </x:row>
    <x:row r="110">
      <x:c r="A110" s="14" t="n">
        <x:v>109</x:v>
      </x:c>
      <x:c r="B110" s="18" t="str">
        <x:v>calculator yes</x:v>
      </x:c>
      <x:c r="C110" s="18" t="str">
        <x:v>null</x:v>
      </x:c>
      <x:c r="D110" s="26" t="n">
        <x:v>10</x:v>
      </x:c>
      <x:c r="E110" s="28" t="n">
        <x:v>0</x:v>
      </x:c>
      <x:c r="F110" s="14" t="n">
        <x:v>12</x:v>
      </x:c>
      <x:c r="G110" s="14" t="n">
        <x:v>22</x:v>
      </x:c>
      <x:c r="H110" s="14" t="str">
        <x:v>Maybe</x:v>
      </x:c>
      <x:c r="I110" s="18" t="str">
        <x:v>Insufficiently specific; requires SERP validation before development</x:v>
      </x:c>
      <x:c r="J110" s="18" t="str">
        <x:v>General / Other</x:v>
      </x:c>
      <x:c r="K110" s="18" t="str">
        <x:v>Yes calculator</x:v>
      </x:c>
      <x:c r="L110" s="18" t="n">
        <x:v>1</x:v>
      </x:c>
      <x:c r="M110" s="18" t="str">
        <x:v>Easy</x:v>
      </x:c>
      <x:c r="N110" s="18" t="str">
        <x:v>Medium</x:v>
      </x:c>
      <x:c r="O110" s="18" t="str">
        <x:v>Ads</x:v>
      </x:c>
      <x:c r="P110" s="30" t="n">
        <x:f>MAX(0,100-G110)</x:f>
        <x:v>78</x:v>
      </x:c>
      <x:c r="Q110" s="30" t="n">
        <x:f>MIN(100,ROUND(LOG10(D110+1)*18,0))</x:f>
        <x:v>19</x:v>
      </x:c>
      <x:c r="R110" s="30" t="n">
        <x:f>MIN(100,ROUND(E110*12,0))</x:f>
        <x:v>0</x:v>
      </x:c>
      <x:c r="S110" s="30" t="n">
        <x:f>IF(H110="No",0,ROUND(P110*0.45+Q110*0.30+R110*0.15+IF(M110="Easy",10,IF(M110="Medium",6,2))+IF(N110="High",5,IF(N110="Medium",3,0)),1))</x:f>
        <x:v>53.8</x:v>
      </x:c>
      <x:c r="T110" s="14" t="str">
        <x:f>IF(H110="No","Exclude",IF(S110&gt;=70,"Priority 1",IF(S110&gt;=55,"Priority 2",IF(S110&gt;=40,"Priority 3","Low priority"))))</x:f>
        <x:v>Priority 3</x:v>
      </x:c>
    </x:row>
    <x:row r="111">
      <x:c r="A111" s="14" t="n">
        <x:v>110</x:v>
      </x:c>
      <x:c r="B111" s="18" t="str">
        <x:v>calculator exams</x:v>
      </x:c>
      <x:c r="C111" s="18" t="str">
        <x:v>null</x:v>
      </x:c>
      <x:c r="D111" s="26" t="n">
        <x:v>18100</x:v>
      </x:c>
      <x:c r="E111" s="28" t="n">
        <x:v>0</x:v>
      </x:c>
      <x:c r="F111" s="14" t="n">
        <x:v>1</x:v>
      </x:c>
      <x:c r="G111" s="14" t="n">
        <x:v>23</x:v>
      </x:c>
      <x:c r="H111" s="14" t="str">
        <x:v>Maybe</x:v>
      </x:c>
      <x:c r="I111" s="18" t="str">
        <x:v>Insufficiently specific; requires SERP validation before development</x:v>
      </x:c>
      <x:c r="J111" s="18" t="str">
        <x:v>General / Other</x:v>
      </x:c>
      <x:c r="K111" s="18" t="str">
        <x:v>Exams calculator</x:v>
      </x:c>
      <x:c r="L111" s="18" t="n">
        <x:v>1</x:v>
      </x:c>
      <x:c r="M111" s="18" t="str">
        <x:v>Easy</x:v>
      </x:c>
      <x:c r="N111" s="18" t="str">
        <x:v>Medium</x:v>
      </x:c>
      <x:c r="O111" s="18" t="str">
        <x:v>Ads</x:v>
      </x:c>
      <x:c r="P111" s="30" t="n">
        <x:f>MAX(0,100-G111)</x:f>
        <x:v>77</x:v>
      </x:c>
      <x:c r="Q111" s="30" t="n">
        <x:f>MIN(100,ROUND(LOG10(D111+1)*18,0))</x:f>
        <x:v>77</x:v>
      </x:c>
      <x:c r="R111" s="30" t="n">
        <x:f>MIN(100,ROUND(E111*12,0))</x:f>
        <x:v>0</x:v>
      </x:c>
      <x:c r="S111" s="30" t="n">
        <x:f>IF(H111="No",0,ROUND(P111*0.45+Q111*0.30+R111*0.15+IF(M111="Easy",10,IF(M111="Medium",6,2))+IF(N111="High",5,IF(N111="Medium",3,0)),1))</x:f>
        <x:v>70.8</x:v>
      </x:c>
      <x:c r="T111" s="14" t="str">
        <x:f>IF(H111="No","Exclude",IF(S111&gt;=70,"Priority 1",IF(S111&gt;=55,"Priority 2",IF(S111&gt;=40,"Priority 3","Low priority"))))</x:f>
        <x:v>Priority 1</x:v>
      </x:c>
    </x:row>
    <x:row r="112">
      <x:c r="A112" s="14" t="n">
        <x:v>111</x:v>
      </x:c>
      <x:c r="B112" s="18" t="str">
        <x:v>calculator with remainder</x:v>
      </x:c>
      <x:c r="C112" s="18" t="str">
        <x:v>informational</x:v>
      </x:c>
      <x:c r="D112" s="26" t="n">
        <x:v>8100</x:v>
      </x:c>
      <x:c r="E112" s="28" t="n">
        <x:v>0.76</x:v>
      </x:c>
      <x:c r="F112" s="14" t="n">
        <x:v>1</x:v>
      </x:c>
      <x:c r="G112" s="14" t="n">
        <x:v>23</x:v>
      </x:c>
      <x:c r="H112" s="14" t="str">
        <x:v>Maybe</x:v>
      </x:c>
      <x:c r="I112" s="18" t="str">
        <x:v>Insufficiently specific; requires SERP validation before development</x:v>
      </x:c>
      <x:c r="J112" s="18" t="str">
        <x:v>General / Other</x:v>
      </x:c>
      <x:c r="K112" s="18" t="str">
        <x:v>With Remainder calculator</x:v>
      </x:c>
      <x:c r="L112" s="18" t="n">
        <x:v>1</x:v>
      </x:c>
      <x:c r="M112" s="18" t="str">
        <x:v>Easy</x:v>
      </x:c>
      <x:c r="N112" s="18" t="str">
        <x:v>Medium</x:v>
      </x:c>
      <x:c r="O112" s="18" t="str">
        <x:v>Ads</x:v>
      </x:c>
      <x:c r="P112" s="30" t="n">
        <x:f>MAX(0,100-G112)</x:f>
        <x:v>77</x:v>
      </x:c>
      <x:c r="Q112" s="30" t="n">
        <x:f>MIN(100,ROUND(LOG10(D112+1)*18,0))</x:f>
        <x:v>70</x:v>
      </x:c>
      <x:c r="R112" s="30" t="n">
        <x:f>MIN(100,ROUND(E112*12,0))</x:f>
        <x:v>9</x:v>
      </x:c>
      <x:c r="S112" s="30" t="n">
        <x:f>IF(H112="No",0,ROUND(P112*0.45+Q112*0.30+R112*0.15+IF(M112="Easy",10,IF(M112="Medium",6,2))+IF(N112="High",5,IF(N112="Medium",3,0)),1))</x:f>
        <x:v>70</x:v>
      </x:c>
      <x:c r="T112" s="14" t="str">
        <x:f>IF(H112="No","Exclude",IF(S112&gt;=70,"Priority 1",IF(S112&gt;=55,"Priority 2",IF(S112&gt;=40,"Priority 3","Low priority"))))</x:f>
        <x:v>Priority 1</x:v>
      </x:c>
    </x:row>
    <x:row r="113">
      <x:c r="A113" s="14" t="n">
        <x:v>112</x:v>
      </x:c>
      <x:c r="B113" s="18" t="str">
        <x:v>calculator 84 online</x:v>
      </x:c>
      <x:c r="C113" s="18" t="str">
        <x:v>informational</x:v>
      </x:c>
      <x:c r="D113" s="26" t="n">
        <x:v>2400</x:v>
      </x:c>
      <x:c r="E113" s="28" t="n">
        <x:v>0.14</x:v>
      </x:c>
      <x:c r="F113" s="14" t="n">
        <x:v>1</x:v>
      </x:c>
      <x:c r="G113" s="14" t="n">
        <x:v>23</x:v>
      </x:c>
      <x:c r="H113" s="14" t="str">
        <x:v>Maybe</x:v>
      </x:c>
      <x:c r="I113" s="18" t="str">
        <x:v>Insufficiently specific; requires SERP validation before development</x:v>
      </x:c>
      <x:c r="J113" s="18" t="str">
        <x:v>General / Other</x:v>
      </x:c>
      <x:c r="K113" s="18" t="str">
        <x:v>84 calculator</x:v>
      </x:c>
      <x:c r="L113" s="18" t="n">
        <x:v>1</x:v>
      </x:c>
      <x:c r="M113" s="18" t="str">
        <x:v>Easy</x:v>
      </x:c>
      <x:c r="N113" s="18" t="str">
        <x:v>Medium</x:v>
      </x:c>
      <x:c r="O113" s="18" t="str">
        <x:v>Ads</x:v>
      </x:c>
      <x:c r="P113" s="30" t="n">
        <x:f>MAX(0,100-G113)</x:f>
        <x:v>77</x:v>
      </x:c>
      <x:c r="Q113" s="30" t="n">
        <x:f>MIN(100,ROUND(LOG10(D113+1)*18,0))</x:f>
        <x:v>61</x:v>
      </x:c>
      <x:c r="R113" s="30" t="n">
        <x:f>MIN(100,ROUND(E113*12,0))</x:f>
        <x:v>2</x:v>
      </x:c>
      <x:c r="S113" s="30" t="n">
        <x:f>IF(H113="No",0,ROUND(P113*0.45+Q113*0.30+R113*0.15+IF(M113="Easy",10,IF(M113="Medium",6,2))+IF(N113="High",5,IF(N113="Medium",3,0)),1))</x:f>
        <x:v>66.3</x:v>
      </x:c>
      <x:c r="T113" s="14" t="str">
        <x:f>IF(H113="No","Exclude",IF(S113&gt;=70,"Priority 1",IF(S113&gt;=55,"Priority 2",IF(S113&gt;=40,"Priority 3","Low priority"))))</x:f>
        <x:v>Priority 2</x:v>
      </x:c>
    </x:row>
    <x:row r="114">
      <x:c r="A114" s="14" t="n">
        <x:v>113</x:v>
      </x:c>
      <x:c r="B114" s="18" t="str">
        <x:v>calculator movie</x:v>
      </x:c>
      <x:c r="C114" s="18" t="str">
        <x:v>informational</x:v>
      </x:c>
      <x:c r="D114" s="26" t="n">
        <x:v>390</x:v>
      </x:c>
      <x:c r="E114" s="28" t="n">
        <x:v>0</x:v>
      </x:c>
      <x:c r="F114" s="14" t="n">
        <x:v>1</x:v>
      </x:c>
      <x:c r="G114" s="14" t="n">
        <x:v>23</x:v>
      </x:c>
      <x:c r="H114" s="14" t="str">
        <x:v>Maybe</x:v>
      </x:c>
      <x:c r="I114" s="18" t="str">
        <x:v>Insufficiently specific; requires SERP validation before development</x:v>
      </x:c>
      <x:c r="J114" s="18" t="str">
        <x:v>General / Other</x:v>
      </x:c>
      <x:c r="K114" s="18" t="str">
        <x:v>Movie calculator</x:v>
      </x:c>
      <x:c r="L114" s="18" t="n">
        <x:v>1</x:v>
      </x:c>
      <x:c r="M114" s="18" t="str">
        <x:v>Easy</x:v>
      </x:c>
      <x:c r="N114" s="18" t="str">
        <x:v>Medium</x:v>
      </x:c>
      <x:c r="O114" s="18" t="str">
        <x:v>Ads</x:v>
      </x:c>
      <x:c r="P114" s="30" t="n">
        <x:f>MAX(0,100-G114)</x:f>
        <x:v>77</x:v>
      </x:c>
      <x:c r="Q114" s="30" t="n">
        <x:f>MIN(100,ROUND(LOG10(D114+1)*18,0))</x:f>
        <x:v>47</x:v>
      </x:c>
      <x:c r="R114" s="30" t="n">
        <x:f>MIN(100,ROUND(E114*12,0))</x:f>
        <x:v>0</x:v>
      </x:c>
      <x:c r="S114" s="30" t="n">
        <x:f>IF(H114="No",0,ROUND(P114*0.45+Q114*0.30+R114*0.15+IF(M114="Easy",10,IF(M114="Medium",6,2))+IF(N114="High",5,IF(N114="Medium",3,0)),1))</x:f>
        <x:v>61.8</x:v>
      </x:c>
      <x:c r="T114" s="14" t="str">
        <x:f>IF(H114="No","Exclude",IF(S114&gt;=70,"Priority 1",IF(S114&gt;=55,"Priority 2",IF(S114&gt;=40,"Priority 3","Low priority"))))</x:f>
        <x:v>Priority 2</x:v>
      </x:c>
    </x:row>
    <x:row r="115">
      <x:c r="A115" s="14" t="n">
        <x:v>114</x:v>
      </x:c>
      <x:c r="B115" s="18" t="str">
        <x:v>calculator tdee</x:v>
      </x:c>
      <x:c r="C115" s="18" t="str">
        <x:v>null</x:v>
      </x:c>
      <x:c r="D115" s="26" t="n">
        <x:v>390</x:v>
      </x:c>
      <x:c r="E115" s="28" t="n">
        <x:v>0.45</x:v>
      </x:c>
      <x:c r="F115" s="14" t="n">
        <x:v>16</x:v>
      </x:c>
      <x:c r="G115" s="14" t="n">
        <x:v>23</x:v>
      </x:c>
      <x:c r="H115" s="14" t="str">
        <x:v>Yes</x:v>
      </x:c>
      <x:c r="I115" s="18" t="str">
        <x:v>Clear calculation, conversion, estimation, or formula intent</x:v>
      </x:c>
      <x:c r="J115" s="18" t="str">
        <x:v>Health, Nutrition &amp; Fitness</x:v>
      </x:c>
      <x:c r="K115" s="18" t="str">
        <x:v>Tdee calculator</x:v>
      </x:c>
      <x:c r="L115" s="18" t="n">
        <x:v>1</x:v>
      </x:c>
      <x:c r="M115" s="18" t="str">
        <x:v>Medium</x:v>
      </x:c>
      <x:c r="N115" s="18" t="str">
        <x:v>Medium</x:v>
      </x:c>
      <x:c r="O115" s="18" t="str">
        <x:v>Ads / Affiliate</x:v>
      </x:c>
      <x:c r="P115" s="30" t="n">
        <x:f>MAX(0,100-G115)</x:f>
        <x:v>77</x:v>
      </x:c>
      <x:c r="Q115" s="30" t="n">
        <x:f>MIN(100,ROUND(LOG10(D115+1)*18,0))</x:f>
        <x:v>47</x:v>
      </x:c>
      <x:c r="R115" s="30" t="n">
        <x:f>MIN(100,ROUND(E115*12,0))</x:f>
        <x:v>5</x:v>
      </x:c>
      <x:c r="S115" s="30" t="n">
        <x:f>IF(H115="No",0,ROUND(P115*0.45+Q115*0.30+R115*0.15+IF(M115="Easy",10,IF(M115="Medium",6,2))+IF(N115="High",5,IF(N115="Medium",3,0)),1))</x:f>
        <x:v>58.5</x:v>
      </x:c>
      <x:c r="T115" s="14" t="str">
        <x:f>IF(H115="No","Exclude",IF(S115&gt;=70,"Priority 1",IF(S115&gt;=55,"Priority 2",IF(S115&gt;=40,"Priority 3","Low priority"))))</x:f>
        <x:v>Priority 2</x:v>
      </x:c>
    </x:row>
    <x:row r="116">
      <x:c r="A116" s="14" t="n">
        <x:v>115</x:v>
      </x:c>
      <x:c r="B116" s="18" t="str">
        <x:v>calculator jumbo</x:v>
      </x:c>
      <x:c r="C116" s="18" t="str">
        <x:v>transactional</x:v>
      </x:c>
      <x:c r="D116" s="26" t="n">
        <x:v>320</x:v>
      </x:c>
      <x:c r="E116" s="28" t="n">
        <x:v>0.62</x:v>
      </x:c>
      <x:c r="F116" s="14" t="n">
        <x:v>98</x:v>
      </x:c>
      <x:c r="G116" s="14" t="n">
        <x:v>23</x:v>
      </x:c>
      <x:c r="H116" s="14" t="str">
        <x:v>Maybe</x:v>
      </x:c>
      <x:c r="I116" s="18" t="str">
        <x:v>Insufficiently specific; requires SERP validation before development</x:v>
      </x:c>
      <x:c r="J116" s="18" t="str">
        <x:v>General / Other</x:v>
      </x:c>
      <x:c r="K116" s="18" t="str">
        <x:v>Jumbo calculator</x:v>
      </x:c>
      <x:c r="L116" s="18" t="n">
        <x:v>1</x:v>
      </x:c>
      <x:c r="M116" s="18" t="str">
        <x:v>Easy</x:v>
      </x:c>
      <x:c r="N116" s="18" t="str">
        <x:v>Medium</x:v>
      </x:c>
      <x:c r="O116" s="18" t="str">
        <x:v>Ads</x:v>
      </x:c>
      <x:c r="P116" s="30" t="n">
        <x:f>MAX(0,100-G116)</x:f>
        <x:v>77</x:v>
      </x:c>
      <x:c r="Q116" s="30" t="n">
        <x:f>MIN(100,ROUND(LOG10(D116+1)*18,0))</x:f>
        <x:v>45</x:v>
      </x:c>
      <x:c r="R116" s="30" t="n">
        <x:f>MIN(100,ROUND(E116*12,0))</x:f>
        <x:v>7</x:v>
      </x:c>
      <x:c r="S116" s="30" t="n">
        <x:f>IF(H116="No",0,ROUND(P116*0.45+Q116*0.30+R116*0.15+IF(M116="Easy",10,IF(M116="Medium",6,2))+IF(N116="High",5,IF(N116="Medium",3,0)),1))</x:f>
        <x:v>62.2</x:v>
      </x:c>
      <x:c r="T116" s="14" t="str">
        <x:f>IF(H116="No","Exclude",IF(S116&gt;=70,"Priority 1",IF(S116&gt;=55,"Priority 2",IF(S116&gt;=40,"Priority 3","Low priority"))))</x:f>
        <x:v>Priority 2</x:v>
      </x:c>
    </x:row>
    <x:row r="117">
      <x:c r="A117" s="14" t="n">
        <x:v>116</x:v>
      </x:c>
      <x:c r="B117" s="18" t="str">
        <x:v>calculator june</x:v>
      </x:c>
      <x:c r="C117" s="18" t="str">
        <x:v>null</x:v>
      </x:c>
      <x:c r="D117" s="26" t="n">
        <x:v>10</x:v>
      </x:c>
      <x:c r="E117" s="28" t="n">
        <x:v>0</x:v>
      </x:c>
      <x:c r="F117" s="14" t="n">
        <x:v>14</x:v>
      </x:c>
      <x:c r="G117" s="14" t="n">
        <x:v>23</x:v>
      </x:c>
      <x:c r="H117" s="14" t="str">
        <x:v>Maybe</x:v>
      </x:c>
      <x:c r="I117" s="18" t="str">
        <x:v>Insufficiently specific; requires SERP validation before development</x:v>
      </x:c>
      <x:c r="J117" s="18" t="str">
        <x:v>General / Other</x:v>
      </x:c>
      <x:c r="K117" s="18" t="str">
        <x:v>June calculator</x:v>
      </x:c>
      <x:c r="L117" s="18" t="n">
        <x:v>1</x:v>
      </x:c>
      <x:c r="M117" s="18" t="str">
        <x:v>Easy</x:v>
      </x:c>
      <x:c r="N117" s="18" t="str">
        <x:v>Medium</x:v>
      </x:c>
      <x:c r="O117" s="18" t="str">
        <x:v>Ads</x:v>
      </x:c>
      <x:c r="P117" s="30" t="n">
        <x:f>MAX(0,100-G117)</x:f>
        <x:v>77</x:v>
      </x:c>
      <x:c r="Q117" s="30" t="n">
        <x:f>MIN(100,ROUND(LOG10(D117+1)*18,0))</x:f>
        <x:v>19</x:v>
      </x:c>
      <x:c r="R117" s="30" t="n">
        <x:f>MIN(100,ROUND(E117*12,0))</x:f>
        <x:v>0</x:v>
      </x:c>
      <x:c r="S117" s="30" t="n">
        <x:f>IF(H117="No",0,ROUND(P117*0.45+Q117*0.30+R117*0.15+IF(M117="Easy",10,IF(M117="Medium",6,2))+IF(N117="High",5,IF(N117="Medium",3,0)),1))</x:f>
        <x:v>53.4</x:v>
      </x:c>
      <x:c r="T117" s="14" t="str">
        <x:f>IF(H117="No","Exclude",IF(S117&gt;=70,"Priority 1",IF(S117&gt;=55,"Priority 2",IF(S117&gt;=40,"Priority 3","Low priority"))))</x:f>
        <x:v>Priority 3</x:v>
      </x:c>
    </x:row>
    <x:row r="118">
      <x:c r="A118" s="14" t="n">
        <x:v>117</x:v>
      </x:c>
      <x:c r="B118" s="18" t="str">
        <x:v>calculator used for statistics</x:v>
      </x:c>
      <x:c r="C118" s="18" t="str">
        <x:v>null</x:v>
      </x:c>
      <x:c r="D118" s="26" t="n">
        <x:v>10</x:v>
      </x:c>
      <x:c r="E118" s="28" t="n">
        <x:v>0.43</x:v>
      </x:c>
      <x:c r="F118" s="14" t="n">
        <x:v>59</x:v>
      </x:c>
      <x:c r="G118" s="14" t="n">
        <x:v>23</x:v>
      </x:c>
      <x:c r="H118" s="14" t="str">
        <x:v>Yes</x:v>
      </x:c>
      <x:c r="I118" s="18" t="str">
        <x:v>Clear calculation, conversion, estimation, or formula intent</x:v>
      </x:c>
      <x:c r="J118" s="18" t="str">
        <x:v>Math &amp; Education</x:v>
      </x:c>
      <x:c r="K118" s="18" t="str">
        <x:v>Used Statistics calculator</x:v>
      </x:c>
      <x:c r="L118" s="18" t="n">
        <x:v>1</x:v>
      </x:c>
      <x:c r="M118" s="18" t="str">
        <x:v>Easy</x:v>
      </x:c>
      <x:c r="N118" s="18" t="str">
        <x:v>Medium</x:v>
      </x:c>
      <x:c r="O118" s="18" t="str">
        <x:v>Ads / EdTech</x:v>
      </x:c>
      <x:c r="P118" s="30" t="n">
        <x:f>MAX(0,100-G118)</x:f>
        <x:v>77</x:v>
      </x:c>
      <x:c r="Q118" s="30" t="n">
        <x:f>MIN(100,ROUND(LOG10(D118+1)*18,0))</x:f>
        <x:v>19</x:v>
      </x:c>
      <x:c r="R118" s="30" t="n">
        <x:f>MIN(100,ROUND(E118*12,0))</x:f>
        <x:v>5</x:v>
      </x:c>
      <x:c r="S118" s="30" t="n">
        <x:f>IF(H118="No",0,ROUND(P118*0.45+Q118*0.30+R118*0.15+IF(M118="Easy",10,IF(M118="Medium",6,2))+IF(N118="High",5,IF(N118="Medium",3,0)),1))</x:f>
        <x:v>54.1</x:v>
      </x:c>
      <x:c r="T118" s="14" t="str">
        <x:f>IF(H118="No","Exclude",IF(S118&gt;=70,"Priority 1",IF(S118&gt;=55,"Priority 2",IF(S118&gt;=40,"Priority 3","Low priority"))))</x:f>
        <x:v>Priority 3</x:v>
      </x:c>
    </x:row>
    <x:row r="119">
      <x:c r="A119" s="14" t="n">
        <x:v>118</x:v>
      </x:c>
      <x:c r="B119" s="18" t="str">
        <x:v>calculator osrs</x:v>
      </x:c>
      <x:c r="C119" s="18" t="str">
        <x:v>informational</x:v>
      </x:c>
      <x:c r="D119" s="26" t="n">
        <x:v>6600</x:v>
      </x:c>
      <x:c r="E119" s="28" t="n">
        <x:v>0</x:v>
      </x:c>
      <x:c r="F119" s="14" t="n">
        <x:v>1</x:v>
      </x:c>
      <x:c r="G119" s="14" t="n">
        <x:v>24</x:v>
      </x:c>
      <x:c r="H119" s="14" t="str">
        <x:v>Maybe</x:v>
      </x:c>
      <x:c r="I119" s="18" t="str">
        <x:v>Insufficiently specific; requires SERP validation before development</x:v>
      </x:c>
      <x:c r="J119" s="18" t="str">
        <x:v>General / Other</x:v>
      </x:c>
      <x:c r="K119" s="18" t="str">
        <x:v>Osrs calculator</x:v>
      </x:c>
      <x:c r="L119" s="18" t="n">
        <x:v>1</x:v>
      </x:c>
      <x:c r="M119" s="18" t="str">
        <x:v>Easy</x:v>
      </x:c>
      <x:c r="N119" s="18" t="str">
        <x:v>Medium</x:v>
      </x:c>
      <x:c r="O119" s="18" t="str">
        <x:v>Ads</x:v>
      </x:c>
      <x:c r="P119" s="30" t="n">
        <x:f>MAX(0,100-G119)</x:f>
        <x:v>76</x:v>
      </x:c>
      <x:c r="Q119" s="30" t="n">
        <x:f>MIN(100,ROUND(LOG10(D119+1)*18,0))</x:f>
        <x:v>69</x:v>
      </x:c>
      <x:c r="R119" s="30" t="n">
        <x:f>MIN(100,ROUND(E119*12,0))</x:f>
        <x:v>0</x:v>
      </x:c>
      <x:c r="S119" s="30" t="n">
        <x:f>IF(H119="No",0,ROUND(P119*0.45+Q119*0.30+R119*0.15+IF(M119="Easy",10,IF(M119="Medium",6,2))+IF(N119="High",5,IF(N119="Medium",3,0)),1))</x:f>
        <x:v>67.9</x:v>
      </x:c>
      <x:c r="T119" s="14" t="str">
        <x:f>IF(H119="No","Exclude",IF(S119&gt;=70,"Priority 1",IF(S119&gt;=55,"Priority 2",IF(S119&gt;=40,"Priority 3","Low priority"))))</x:f>
        <x:v>Priority 2</x:v>
      </x:c>
    </x:row>
    <x:row r="120">
      <x:c r="A120" s="14" t="n">
        <x:v>119</x:v>
      </x:c>
      <x:c r="B120" s="18" t="str">
        <x:v>calculator in spanish</x:v>
      </x:c>
      <x:c r="C120" s="18" t="str">
        <x:v>informational</x:v>
      </x:c>
      <x:c r="D120" s="26" t="n">
        <x:v>4400</x:v>
      </x:c>
      <x:c r="E120" s="28" t="n">
        <x:v>6.15</x:v>
      </x:c>
      <x:c r="F120" s="14" t="n">
        <x:v>1</x:v>
      </x:c>
      <x:c r="G120" s="14" t="n">
        <x:v>24</x:v>
      </x:c>
      <x:c r="H120" s="14" t="str">
        <x:v>Maybe</x:v>
      </x:c>
      <x:c r="I120" s="18" t="str">
        <x:v>Insufficiently specific; requires SERP validation before development</x:v>
      </x:c>
      <x:c r="J120" s="18" t="str">
        <x:v>General / Other</x:v>
      </x:c>
      <x:c r="K120" s="18" t="str">
        <x:v>In Spanish calculator</x:v>
      </x:c>
      <x:c r="L120" s="18" t="n">
        <x:v>1</x:v>
      </x:c>
      <x:c r="M120" s="18" t="str">
        <x:v>Easy</x:v>
      </x:c>
      <x:c r="N120" s="18" t="str">
        <x:v>Medium</x:v>
      </x:c>
      <x:c r="O120" s="18" t="str">
        <x:v>Ads</x:v>
      </x:c>
      <x:c r="P120" s="30" t="n">
        <x:f>MAX(0,100-G120)</x:f>
        <x:v>76</x:v>
      </x:c>
      <x:c r="Q120" s="30" t="n">
        <x:f>MIN(100,ROUND(LOG10(D120+1)*18,0))</x:f>
        <x:v>66</x:v>
      </x:c>
      <x:c r="R120" s="30" t="n">
        <x:f>MIN(100,ROUND(E120*12,0))</x:f>
        <x:v>74</x:v>
      </x:c>
      <x:c r="S120" s="30" t="n">
        <x:f>IF(H120="No",0,ROUND(P120*0.45+Q120*0.30+R120*0.15+IF(M120="Easy",10,IF(M120="Medium",6,2))+IF(N120="High",5,IF(N120="Medium",3,0)),1))</x:f>
        <x:v>78.1</x:v>
      </x:c>
      <x:c r="T120" s="14" t="str">
        <x:f>IF(H120="No","Exclude",IF(S120&gt;=70,"Priority 1",IF(S120&gt;=55,"Priority 2",IF(S120&gt;=40,"Priority 3","Low priority"))))</x:f>
        <x:v>Priority 1</x:v>
      </x:c>
    </x:row>
    <x:row r="121">
      <x:c r="A121" s="14" t="n">
        <x:v>120</x:v>
      </x:c>
      <x:c r="B121" s="18" t="str">
        <x:v>calculator upside down words</x:v>
      </x:c>
      <x:c r="C121" s="18" t="str">
        <x:v>informational</x:v>
      </x:c>
      <x:c r="D121" s="26" t="n">
        <x:v>480</x:v>
      </x:c>
      <x:c r="E121" s="28" t="n">
        <x:v>0</x:v>
      </x:c>
      <x:c r="F121" s="14" t="n">
        <x:v>1</x:v>
      </x:c>
      <x:c r="G121" s="14" t="n">
        <x:v>24</x:v>
      </x:c>
      <x:c r="H121" s="14" t="str">
        <x:v>No</x:v>
      </x:c>
      <x:c r="I121" s="18" t="str">
        <x:v>App/product/brand/navigation/media intent rather than a calculation</x:v>
      </x:c>
      <x:c r="J121" s="18" t="str">
        <x:v>Excluded / Non-calculator</x:v>
      </x:c>
      <x:c r="K121" s="18" t="str"/>
      <x:c r="L121" s="18" t="n">
        <x:v>0</x:v>
      </x:c>
      <x:c r="M121" s="18" t="str"/>
      <x:c r="N121" s="18" t="str"/>
      <x:c r="O121" s="18" t="str"/>
      <x:c r="P121" s="30" t="n">
        <x:f>MAX(0,100-G121)</x:f>
        <x:v>76</x:v>
      </x:c>
      <x:c r="Q121" s="30" t="n">
        <x:f>MIN(100,ROUND(LOG10(D121+1)*18,0))</x:f>
        <x:v>48</x:v>
      </x:c>
      <x:c r="R121" s="30" t="n">
        <x:f>MIN(100,ROUND(E121*12,0))</x:f>
        <x:v>0</x:v>
      </x:c>
      <x:c r="S121" s="30" t="n">
        <x:f>IF(H121="No",0,ROUND(P121*0.45+Q121*0.30+R121*0.15+IF(M121="Easy",10,IF(M121="Medium",6,2))+IF(N121="High",5,IF(N121="Medium",3,0)),1))</x:f>
        <x:v>0</x:v>
      </x:c>
      <x:c r="T121" s="14" t="str">
        <x:f>IF(H121="No","Exclude",IF(S121&gt;=70,"Priority 1",IF(S121&gt;=55,"Priority 2",IF(S121&gt;=40,"Priority 3","Low priority"))))</x:f>
        <x:v>Exclude</x:v>
      </x:c>
    </x:row>
    <x:row r="122">
      <x:c r="A122" s="14" t="n">
        <x:v>121</x:v>
      </x:c>
      <x:c r="B122" s="18" t="str">
        <x:v>calculator 64</x:v>
      </x:c>
      <x:c r="C122" s="18" t="str">
        <x:v>transactional, informational</x:v>
      </x:c>
      <x:c r="D122" s="26" t="n">
        <x:v>170</x:v>
      </x:c>
      <x:c r="E122" s="28" t="n">
        <x:v>0</x:v>
      </x:c>
      <x:c r="F122" s="14" t="n">
        <x:v>1</x:v>
      </x:c>
      <x:c r="G122" s="14" t="n">
        <x:v>24</x:v>
      </x:c>
      <x:c r="H122" s="14" t="str">
        <x:v>No</x:v>
      </x:c>
      <x:c r="I122" s="18" t="str">
        <x:v>Model/number query, not a distinct web calculator</x:v>
      </x:c>
      <x:c r="J122" s="18" t="str">
        <x:v>Excluded / Non-calculator</x:v>
      </x:c>
      <x:c r="K122" s="18" t="str"/>
      <x:c r="L122" s="18" t="n">
        <x:v>0</x:v>
      </x:c>
      <x:c r="M122" s="18" t="str"/>
      <x:c r="N122" s="18" t="str"/>
      <x:c r="O122" s="18" t="str"/>
      <x:c r="P122" s="30" t="n">
        <x:f>MAX(0,100-G122)</x:f>
        <x:v>76</x:v>
      </x:c>
      <x:c r="Q122" s="30" t="n">
        <x:f>MIN(100,ROUND(LOG10(D122+1)*18,0))</x:f>
        <x:v>40</x:v>
      </x:c>
      <x:c r="R122" s="30" t="n">
        <x:f>MIN(100,ROUND(E122*12,0))</x:f>
        <x:v>0</x:v>
      </x:c>
      <x:c r="S122" s="30" t="n">
        <x:f>IF(H122="No",0,ROUND(P122*0.45+Q122*0.30+R122*0.15+IF(M122="Easy",10,IF(M122="Medium",6,2))+IF(N122="High",5,IF(N122="Medium",3,0)),1))</x:f>
        <x:v>0</x:v>
      </x:c>
      <x:c r="T122" s="14" t="str">
        <x:f>IF(H122="No","Exclude",IF(S122&gt;=70,"Priority 1",IF(S122&gt;=55,"Priority 2",IF(S122&gt;=40,"Priority 3","Low priority"))))</x:f>
        <x:v>Exclude</x:v>
      </x:c>
    </x:row>
    <x:row r="123">
      <x:c r="A123" s="14" t="n">
        <x:v>122</x:v>
      </x:c>
      <x:c r="B123" s="18" t="str">
        <x:v>calculator holder for classroom</x:v>
      </x:c>
      <x:c r="C123" s="18" t="str">
        <x:v>transactional</x:v>
      </x:c>
      <x:c r="D123" s="26" t="n">
        <x:v>170</x:v>
      </x:c>
      <x:c r="E123" s="28" t="n">
        <x:v>0.47</x:v>
      </x:c>
      <x:c r="F123" s="14" t="n">
        <x:v>100</x:v>
      </x:c>
      <x:c r="G123" s="14" t="n">
        <x:v>24</x:v>
      </x:c>
      <x:c r="H123" s="14" t="str">
        <x:v>Maybe</x:v>
      </x:c>
      <x:c r="I123" s="18" t="str">
        <x:v>Insufficiently specific; requires SERP validation before development</x:v>
      </x:c>
      <x:c r="J123" s="18" t="str">
        <x:v>General / Other</x:v>
      </x:c>
      <x:c r="K123" s="18" t="str">
        <x:v>Holder Classroom calculator</x:v>
      </x:c>
      <x:c r="L123" s="18" t="n">
        <x:v>1</x:v>
      </x:c>
      <x:c r="M123" s="18" t="str">
        <x:v>Easy</x:v>
      </x:c>
      <x:c r="N123" s="18" t="str">
        <x:v>Medium</x:v>
      </x:c>
      <x:c r="O123" s="18" t="str">
        <x:v>Ads</x:v>
      </x:c>
      <x:c r="P123" s="30" t="n">
        <x:f>MAX(0,100-G123)</x:f>
        <x:v>76</x:v>
      </x:c>
      <x:c r="Q123" s="30" t="n">
        <x:f>MIN(100,ROUND(LOG10(D123+1)*18,0))</x:f>
        <x:v>40</x:v>
      </x:c>
      <x:c r="R123" s="30" t="n">
        <x:f>MIN(100,ROUND(E123*12,0))</x:f>
        <x:v>6</x:v>
      </x:c>
      <x:c r="S123" s="30" t="n">
        <x:f>IF(H123="No",0,ROUND(P123*0.45+Q123*0.30+R123*0.15+IF(M123="Easy",10,IF(M123="Medium",6,2))+IF(N123="High",5,IF(N123="Medium",3,0)),1))</x:f>
        <x:v>60.1</x:v>
      </x:c>
      <x:c r="T123" s="14" t="str">
        <x:f>IF(H123="No","Exclude",IF(S123&gt;=70,"Priority 1",IF(S123&gt;=55,"Priority 2",IF(S123&gt;=40,"Priority 3","Low priority"))))</x:f>
        <x:v>Priority 2</x:v>
      </x:c>
    </x:row>
    <x:row r="124">
      <x:c r="A124" s="14" t="n">
        <x:v>123</x:v>
      </x:c>
      <x:c r="B124" s="18" t="str">
        <x:v>calculator keychain</x:v>
      </x:c>
      <x:c r="C124" s="18" t="str">
        <x:v>transactional</x:v>
      </x:c>
      <x:c r="D124" s="26" t="n">
        <x:v>170</x:v>
      </x:c>
      <x:c r="E124" s="28" t="n">
        <x:v>0.35</x:v>
      </x:c>
      <x:c r="F124" s="14" t="n">
        <x:v>100</x:v>
      </x:c>
      <x:c r="G124" s="14" t="n">
        <x:v>24</x:v>
      </x:c>
      <x:c r="H124" s="14" t="str">
        <x:v>Maybe</x:v>
      </x:c>
      <x:c r="I124" s="18" t="str">
        <x:v>Insufficiently specific; requires SERP validation before development</x:v>
      </x:c>
      <x:c r="J124" s="18" t="str">
        <x:v>General / Other</x:v>
      </x:c>
      <x:c r="K124" s="18" t="str">
        <x:v>Keychain calculator</x:v>
      </x:c>
      <x:c r="L124" s="18" t="n">
        <x:v>1</x:v>
      </x:c>
      <x:c r="M124" s="18" t="str">
        <x:v>Easy</x:v>
      </x:c>
      <x:c r="N124" s="18" t="str">
        <x:v>Medium</x:v>
      </x:c>
      <x:c r="O124" s="18" t="str">
        <x:v>Ads</x:v>
      </x:c>
      <x:c r="P124" s="30" t="n">
        <x:f>MAX(0,100-G124)</x:f>
        <x:v>76</x:v>
      </x:c>
      <x:c r="Q124" s="30" t="n">
        <x:f>MIN(100,ROUND(LOG10(D124+1)*18,0))</x:f>
        <x:v>40</x:v>
      </x:c>
      <x:c r="R124" s="30" t="n">
        <x:f>MIN(100,ROUND(E124*12,0))</x:f>
        <x:v>4</x:v>
      </x:c>
      <x:c r="S124" s="30" t="n">
        <x:f>IF(H124="No",0,ROUND(P124*0.45+Q124*0.30+R124*0.15+IF(M124="Easy",10,IF(M124="Medium",6,2))+IF(N124="High",5,IF(N124="Medium",3,0)),1))</x:f>
        <x:v>59.8</x:v>
      </x:c>
      <x:c r="T124" s="14" t="str">
        <x:f>IF(H124="No","Exclude",IF(S124&gt;=70,"Priority 1",IF(S124&gt;=55,"Priority 2",IF(S124&gt;=40,"Priority 3","Low priority"))))</x:f>
        <x:v>Priority 2</x:v>
      </x:c>
    </x:row>
    <x:row r="125">
      <x:c r="A125" s="14" t="n">
        <x:v>124</x:v>
      </x:c>
      <x:c r="B125" s="18" t="str">
        <x:v>calculator income</x:v>
      </x:c>
      <x:c r="C125" s="18" t="str">
        <x:v>null</x:v>
      </x:c>
      <x:c r="D125" s="26" t="n">
        <x:v>22200</x:v>
      </x:c>
      <x:c r="E125" s="28" t="n">
        <x:v>2.03</x:v>
      </x:c>
      <x:c r="F125" s="14" t="n">
        <x:v>2</x:v>
      </x:c>
      <x:c r="G125" s="14" t="n">
        <x:v>25</x:v>
      </x:c>
      <x:c r="H125" s="14" t="str">
        <x:v>Maybe</x:v>
      </x:c>
      <x:c r="I125" s="18" t="str">
        <x:v>Insufficiently specific; requires SERP validation before development</x:v>
      </x:c>
      <x:c r="J125" s="18" t="str">
        <x:v>General / Other</x:v>
      </x:c>
      <x:c r="K125" s="18" t="str">
        <x:v>Income calculator</x:v>
      </x:c>
      <x:c r="L125" s="18" t="n">
        <x:v>1</x:v>
      </x:c>
      <x:c r="M125" s="18" t="str">
        <x:v>Easy</x:v>
      </x:c>
      <x:c r="N125" s="18" t="str">
        <x:v>Medium</x:v>
      </x:c>
      <x:c r="O125" s="18" t="str">
        <x:v>Ads</x:v>
      </x:c>
      <x:c r="P125" s="30" t="n">
        <x:f>MAX(0,100-G125)</x:f>
        <x:v>75</x:v>
      </x:c>
      <x:c r="Q125" s="30" t="n">
        <x:f>MIN(100,ROUND(LOG10(D125+1)*18,0))</x:f>
        <x:v>78</x:v>
      </x:c>
      <x:c r="R125" s="30" t="n">
        <x:f>MIN(100,ROUND(E125*12,0))</x:f>
        <x:v>24</x:v>
      </x:c>
      <x:c r="S125" s="30" t="n">
        <x:f>IF(H125="No",0,ROUND(P125*0.45+Q125*0.30+R125*0.15+IF(M125="Easy",10,IF(M125="Medium",6,2))+IF(N125="High",5,IF(N125="Medium",3,0)),1))</x:f>
        <x:v>73.8</x:v>
      </x:c>
      <x:c r="T125" s="14" t="str">
        <x:f>IF(H125="No","Exclude",IF(S125&gt;=70,"Priority 1",IF(S125&gt;=55,"Priority 2",IF(S125&gt;=40,"Priority 3","Low priority"))))</x:f>
        <x:v>Priority 1</x:v>
      </x:c>
    </x:row>
    <x:row r="126">
      <x:c r="A126" s="14" t="n">
        <x:v>125</x:v>
      </x:c>
      <x:c r="B126" s="18" t="str">
        <x:v>calculator in french</x:v>
      </x:c>
      <x:c r="C126" s="18" t="str">
        <x:v>informational</x:v>
      </x:c>
      <x:c r="D126" s="26" t="n">
        <x:v>720</x:v>
      </x:c>
      <x:c r="E126" s="28" t="n">
        <x:v>0</x:v>
      </x:c>
      <x:c r="F126" s="14" t="n">
        <x:v>1</x:v>
      </x:c>
      <x:c r="G126" s="14" t="n">
        <x:v>25</x:v>
      </x:c>
      <x:c r="H126" s="14" t="str">
        <x:v>Maybe</x:v>
      </x:c>
      <x:c r="I126" s="18" t="str">
        <x:v>Insufficiently specific; requires SERP validation before development</x:v>
      </x:c>
      <x:c r="J126" s="18" t="str">
        <x:v>General / Other</x:v>
      </x:c>
      <x:c r="K126" s="18" t="str">
        <x:v>In French calculator</x:v>
      </x:c>
      <x:c r="L126" s="18" t="n">
        <x:v>1</x:v>
      </x:c>
      <x:c r="M126" s="18" t="str">
        <x:v>Easy</x:v>
      </x:c>
      <x:c r="N126" s="18" t="str">
        <x:v>Medium</x:v>
      </x:c>
      <x:c r="O126" s="18" t="str">
        <x:v>Ads</x:v>
      </x:c>
      <x:c r="P126" s="30" t="n">
        <x:f>MAX(0,100-G126)</x:f>
        <x:v>75</x:v>
      </x:c>
      <x:c r="Q126" s="30" t="n">
        <x:f>MIN(100,ROUND(LOG10(D126+1)*18,0))</x:f>
        <x:v>51</x:v>
      </x:c>
      <x:c r="R126" s="30" t="n">
        <x:f>MIN(100,ROUND(E126*12,0))</x:f>
        <x:v>0</x:v>
      </x:c>
      <x:c r="S126" s="30" t="n">
        <x:f>IF(H126="No",0,ROUND(P126*0.45+Q126*0.30+R126*0.15+IF(M126="Easy",10,IF(M126="Medium",6,2))+IF(N126="High",5,IF(N126="Medium",3,0)),1))</x:f>
        <x:v>62.1</x:v>
      </x:c>
      <x:c r="T126" s="14" t="str">
        <x:f>IF(H126="No","Exclude",IF(S126&gt;=70,"Priority 1",IF(S126&gt;=55,"Priority 2",IF(S126&gt;=40,"Priority 3","Low priority"))))</x:f>
        <x:v>Priority 2</x:v>
      </x:c>
    </x:row>
    <x:row r="127">
      <x:c r="A127" s="14" t="n">
        <x:v>126</x:v>
      </x:c>
      <x:c r="B127" s="18" t="str">
        <x:v>calculator lighter</x:v>
      </x:c>
      <x:c r="C127" s="18" t="str">
        <x:v>null</x:v>
      </x:c>
      <x:c r="D127" s="26" t="n">
        <x:v>720</x:v>
      </x:c>
      <x:c r="E127" s="28" t="n">
        <x:v>3.3</x:v>
      </x:c>
      <x:c r="F127" s="14" t="n">
        <x:v>23</x:v>
      </x:c>
      <x:c r="G127" s="14" t="n">
        <x:v>25</x:v>
      </x:c>
      <x:c r="H127" s="14" t="str">
        <x:v>No</x:v>
      </x:c>
      <x:c r="I127" s="18" t="str">
        <x:v>App/product/brand/navigation/media intent rather than a calculation</x:v>
      </x:c>
      <x:c r="J127" s="18" t="str">
        <x:v>Excluded / Non-calculator</x:v>
      </x:c>
      <x:c r="K127" s="18" t="str"/>
      <x:c r="L127" s="18" t="n">
        <x:v>0</x:v>
      </x:c>
      <x:c r="M127" s="18" t="str"/>
      <x:c r="N127" s="18" t="str"/>
      <x:c r="O127" s="18" t="str"/>
      <x:c r="P127" s="30" t="n">
        <x:f>MAX(0,100-G127)</x:f>
        <x:v>75</x:v>
      </x:c>
      <x:c r="Q127" s="30" t="n">
        <x:f>MIN(100,ROUND(LOG10(D127+1)*18,0))</x:f>
        <x:v>51</x:v>
      </x:c>
      <x:c r="R127" s="30" t="n">
        <x:f>MIN(100,ROUND(E127*12,0))</x:f>
        <x:v>40</x:v>
      </x:c>
      <x:c r="S127" s="30" t="n">
        <x:f>IF(H127="No",0,ROUND(P127*0.45+Q127*0.30+R127*0.15+IF(M127="Easy",10,IF(M127="Medium",6,2))+IF(N127="High",5,IF(N127="Medium",3,0)),1))</x:f>
        <x:v>0</x:v>
      </x:c>
      <x:c r="T127" s="14" t="str">
        <x:f>IF(H127="No","Exclude",IF(S127&gt;=70,"Priority 1",IF(S127&gt;=55,"Priority 2",IF(S127&gt;=40,"Priority 3","Low priority"))))</x:f>
        <x:v>Exclude</x:v>
      </x:c>
    </x:row>
    <x:row r="128">
      <x:c r="A128" s="14" t="n">
        <x:v>127</x:v>
      </x:c>
      <x:c r="B128" s="18" t="str">
        <x:v>calculator battery</x:v>
      </x:c>
      <x:c r="C128" s="18" t="str">
        <x:v>transactional</x:v>
      </x:c>
      <x:c r="D128" s="26" t="n">
        <x:v>320</x:v>
      </x:c>
      <x:c r="E128" s="28" t="n">
        <x:v>0.23</x:v>
      </x:c>
      <x:c r="F128" s="14" t="n">
        <x:v>72</x:v>
      </x:c>
      <x:c r="G128" s="14" t="n">
        <x:v>25</x:v>
      </x:c>
      <x:c r="H128" s="14" t="str">
        <x:v>Maybe</x:v>
      </x:c>
      <x:c r="I128" s="18" t="str">
        <x:v>Insufficiently specific; requires SERP validation before development</x:v>
      </x:c>
      <x:c r="J128" s="18" t="str">
        <x:v>General / Other</x:v>
      </x:c>
      <x:c r="K128" s="18" t="str">
        <x:v>Battery calculator</x:v>
      </x:c>
      <x:c r="L128" s="18" t="n">
        <x:v>1</x:v>
      </x:c>
      <x:c r="M128" s="18" t="str">
        <x:v>Easy</x:v>
      </x:c>
      <x:c r="N128" s="18" t="str">
        <x:v>Medium</x:v>
      </x:c>
      <x:c r="O128" s="18" t="str">
        <x:v>Ads</x:v>
      </x:c>
      <x:c r="P128" s="30" t="n">
        <x:f>MAX(0,100-G128)</x:f>
        <x:v>75</x:v>
      </x:c>
      <x:c r="Q128" s="30" t="n">
        <x:f>MIN(100,ROUND(LOG10(D128+1)*18,0))</x:f>
        <x:v>45</x:v>
      </x:c>
      <x:c r="R128" s="30" t="n">
        <x:f>MIN(100,ROUND(E128*12,0))</x:f>
        <x:v>3</x:v>
      </x:c>
      <x:c r="S128" s="30" t="n">
        <x:f>IF(H128="No",0,ROUND(P128*0.45+Q128*0.30+R128*0.15+IF(M128="Easy",10,IF(M128="Medium",6,2))+IF(N128="High",5,IF(N128="Medium",3,0)),1))</x:f>
        <x:v>60.7</x:v>
      </x:c>
      <x:c r="T128" s="14" t="str">
        <x:f>IF(H128="No","Exclude",IF(S128&gt;=70,"Priority 1",IF(S128&gt;=55,"Priority 2",IF(S128&gt;=40,"Priority 3","Low priority"))))</x:f>
        <x:v>Priority 2</x:v>
      </x:c>
    </x:row>
    <x:row r="129">
      <x:c r="A129" s="14" t="n">
        <x:v>128</x:v>
      </x:c>
      <x:c r="B129" s="18" t="str">
        <x:v>calculator 7 segment display</x:v>
      </x:c>
      <x:c r="C129" s="18" t="str">
        <x:v>transactional</x:v>
      </x:c>
      <x:c r="D129" s="26" t="n">
        <x:v>90</x:v>
      </x:c>
      <x:c r="E129" s="28" t="n">
        <x:v>0</x:v>
      </x:c>
      <x:c r="F129" s="14" t="n">
        <x:v>1</x:v>
      </x:c>
      <x:c r="G129" s="14" t="n">
        <x:v>25</x:v>
      </x:c>
      <x:c r="H129" s="14" t="str">
        <x:v>Maybe</x:v>
      </x:c>
      <x:c r="I129" s="18" t="str">
        <x:v>Insufficiently specific; requires SERP validation before development</x:v>
      </x:c>
      <x:c r="J129" s="18" t="str">
        <x:v>General / Other</x:v>
      </x:c>
      <x:c r="K129" s="18" t="str">
        <x:v>7 Segment Display calculator</x:v>
      </x:c>
      <x:c r="L129" s="18" t="n">
        <x:v>1</x:v>
      </x:c>
      <x:c r="M129" s="18" t="str">
        <x:v>Easy</x:v>
      </x:c>
      <x:c r="N129" s="18" t="str">
        <x:v>Medium</x:v>
      </x:c>
      <x:c r="O129" s="18" t="str">
        <x:v>Ads</x:v>
      </x:c>
      <x:c r="P129" s="30" t="n">
        <x:f>MAX(0,100-G129)</x:f>
        <x:v>75</x:v>
      </x:c>
      <x:c r="Q129" s="30" t="n">
        <x:f>MIN(100,ROUND(LOG10(D129+1)*18,0))</x:f>
        <x:v>35</x:v>
      </x:c>
      <x:c r="R129" s="30" t="n">
        <x:f>MIN(100,ROUND(E129*12,0))</x:f>
        <x:v>0</x:v>
      </x:c>
      <x:c r="S129" s="30" t="n">
        <x:f>IF(H129="No",0,ROUND(P129*0.45+Q129*0.30+R129*0.15+IF(M129="Easy",10,IF(M129="Medium",6,2))+IF(N129="High",5,IF(N129="Medium",3,0)),1))</x:f>
        <x:v>57.3</x:v>
      </x:c>
      <x:c r="T129" s="14" t="str">
        <x:f>IF(H129="No","Exclude",IF(S129&gt;=70,"Priority 1",IF(S129&gt;=55,"Priority 2",IF(S129&gt;=40,"Priority 3","Low priority"))))</x:f>
        <x:v>Priority 2</x:v>
      </x:c>
    </x:row>
    <x:row r="130">
      <x:c r="A130" s="14" t="n">
        <x:v>129</x:v>
      </x:c>
      <x:c r="B130" s="18" t="str">
        <x:v>calculator retirement savings</x:v>
      </x:c>
      <x:c r="C130" s="18" t="str">
        <x:v>navigational, commercial</x:v>
      </x:c>
      <x:c r="D130" s="26" t="n">
        <x:v>18100</x:v>
      </x:c>
      <x:c r="E130" s="28" t="n">
        <x:v>2.47</x:v>
      </x:c>
      <x:c r="F130" s="14" t="n">
        <x:v>25</x:v>
      </x:c>
      <x:c r="G130" s="14" t="n">
        <x:v>26</x:v>
      </x:c>
      <x:c r="H130" s="14" t="str">
        <x:v>Yes</x:v>
      </x:c>
      <x:c r="I130" s="18" t="str">
        <x:v>Clear calculation, conversion, estimation, or formula intent</x:v>
      </x:c>
      <x:c r="J130" s="18" t="str">
        <x:v>Personal Finance &amp; Investing</x:v>
      </x:c>
      <x:c r="K130" s="18" t="str">
        <x:v>Retirement Savings calculator</x:v>
      </x:c>
      <x:c r="L130" s="18" t="n">
        <x:v>1</x:v>
      </x:c>
      <x:c r="M130" s="18" t="str">
        <x:v>Complex</x:v>
      </x:c>
      <x:c r="N130" s="18" t="str">
        <x:v>High</x:v>
      </x:c>
      <x:c r="O130" s="18" t="str">
        <x:v>Ads / Leads / Affiliate</x:v>
      </x:c>
      <x:c r="P130" s="30" t="n">
        <x:f>MAX(0,100-G130)</x:f>
        <x:v>74</x:v>
      </x:c>
      <x:c r="Q130" s="30" t="n">
        <x:f>MIN(100,ROUND(LOG10(D130+1)*18,0))</x:f>
        <x:v>77</x:v>
      </x:c>
      <x:c r="R130" s="30" t="n">
        <x:f>MIN(100,ROUND(E130*12,0))</x:f>
        <x:v>30</x:v>
      </x:c>
      <x:c r="S130" s="30" t="n">
        <x:f>IF(H130="No",0,ROUND(P130*0.45+Q130*0.30+R130*0.15+IF(M130="Easy",10,IF(M130="Medium",6,2))+IF(N130="High",5,IF(N130="Medium",3,0)),1))</x:f>
        <x:v>67.9</x:v>
      </x:c>
      <x:c r="T130" s="14" t="str">
        <x:f>IF(H130="No","Exclude",IF(S130&gt;=70,"Priority 1",IF(S130&gt;=55,"Priority 2",IF(S130&gt;=40,"Priority 3","Low priority"))))</x:f>
        <x:v>Priority 2</x:v>
      </x:c>
    </x:row>
    <x:row r="131">
      <x:c r="A131" s="14" t="n">
        <x:v>130</x:v>
      </x:c>
      <x:c r="B131" s="18" t="str">
        <x:v>calculator pokemon</x:v>
      </x:c>
      <x:c r="C131" s="18" t="str">
        <x:v>informational</x:v>
      </x:c>
      <x:c r="D131" s="26" t="n">
        <x:v>12100</x:v>
      </x:c>
      <x:c r="E131" s="28" t="n">
        <x:v>0</x:v>
      </x:c>
      <x:c r="F131" s="14" t="n">
        <x:v>1</x:v>
      </x:c>
      <x:c r="G131" s="14" t="n">
        <x:v>26</x:v>
      </x:c>
      <x:c r="H131" s="14" t="str">
        <x:v>Maybe</x:v>
      </x:c>
      <x:c r="I131" s="18" t="str">
        <x:v>Insufficiently specific; requires SERP validation before development</x:v>
      </x:c>
      <x:c r="J131" s="18" t="str">
        <x:v>General / Other</x:v>
      </x:c>
      <x:c r="K131" s="18" t="str">
        <x:v>Pokemon calculator</x:v>
      </x:c>
      <x:c r="L131" s="18" t="n">
        <x:v>1</x:v>
      </x:c>
      <x:c r="M131" s="18" t="str">
        <x:v>Easy</x:v>
      </x:c>
      <x:c r="N131" s="18" t="str">
        <x:v>Medium</x:v>
      </x:c>
      <x:c r="O131" s="18" t="str">
        <x:v>Ads</x:v>
      </x:c>
      <x:c r="P131" s="30" t="n">
        <x:f>MAX(0,100-G131)</x:f>
        <x:v>74</x:v>
      </x:c>
      <x:c r="Q131" s="30" t="n">
        <x:f>MIN(100,ROUND(LOG10(D131+1)*18,0))</x:f>
        <x:v>73</x:v>
      </x:c>
      <x:c r="R131" s="30" t="n">
        <x:f>MIN(100,ROUND(E131*12,0))</x:f>
        <x:v>0</x:v>
      </x:c>
      <x:c r="S131" s="30" t="n">
        <x:f>IF(H131="No",0,ROUND(P131*0.45+Q131*0.30+R131*0.15+IF(M131="Easy",10,IF(M131="Medium",6,2))+IF(N131="High",5,IF(N131="Medium",3,0)),1))</x:f>
        <x:v>68.2</x:v>
      </x:c>
      <x:c r="T131" s="14" t="str">
        <x:f>IF(H131="No","Exclude",IF(S131&gt;=70,"Priority 1",IF(S131&gt;=55,"Priority 2",IF(S131&gt;=40,"Priority 3","Low priority"))))</x:f>
        <x:v>Priority 2</x:v>
      </x:c>
    </x:row>
    <x:row r="132">
      <x:c r="A132" s="14" t="n">
        <x:v>131</x:v>
      </x:c>
      <x:c r="B132" s="18" t="str">
        <x:v>calculator synonym</x:v>
      </x:c>
      <x:c r="C132" s="18" t="str">
        <x:v>informational</x:v>
      </x:c>
      <x:c r="D132" s="26" t="n">
        <x:v>6600</x:v>
      </x:c>
      <x:c r="E132" s="28" t="n">
        <x:v>0</x:v>
      </x:c>
      <x:c r="F132" s="14" t="n">
        <x:v>1</x:v>
      </x:c>
      <x:c r="G132" s="14" t="n">
        <x:v>26</x:v>
      </x:c>
      <x:c r="H132" s="14" t="str">
        <x:v>Maybe</x:v>
      </x:c>
      <x:c r="I132" s="18" t="str">
        <x:v>Insufficiently specific; requires SERP validation before development</x:v>
      </x:c>
      <x:c r="J132" s="18" t="str">
        <x:v>General / Other</x:v>
      </x:c>
      <x:c r="K132" s="18" t="str">
        <x:v>Synonym calculator</x:v>
      </x:c>
      <x:c r="L132" s="18" t="n">
        <x:v>1</x:v>
      </x:c>
      <x:c r="M132" s="18" t="str">
        <x:v>Easy</x:v>
      </x:c>
      <x:c r="N132" s="18" t="str">
        <x:v>Medium</x:v>
      </x:c>
      <x:c r="O132" s="18" t="str">
        <x:v>Ads</x:v>
      </x:c>
      <x:c r="P132" s="30" t="n">
        <x:f>MAX(0,100-G132)</x:f>
        <x:v>74</x:v>
      </x:c>
      <x:c r="Q132" s="30" t="n">
        <x:f>MIN(100,ROUND(LOG10(D132+1)*18,0))</x:f>
        <x:v>69</x:v>
      </x:c>
      <x:c r="R132" s="30" t="n">
        <x:f>MIN(100,ROUND(E132*12,0))</x:f>
        <x:v>0</x:v>
      </x:c>
      <x:c r="S132" s="30" t="n">
        <x:f>IF(H132="No",0,ROUND(P132*0.45+Q132*0.30+R132*0.15+IF(M132="Easy",10,IF(M132="Medium",6,2))+IF(N132="High",5,IF(N132="Medium",3,0)),1))</x:f>
        <x:v>67</x:v>
      </x:c>
      <x:c r="T132" s="14" t="str">
        <x:f>IF(H132="No","Exclude",IF(S132&gt;=70,"Priority 1",IF(S132&gt;=55,"Priority 2",IF(S132&gt;=40,"Priority 3","Low priority"))))</x:f>
        <x:v>Priority 2</x:v>
      </x:c>
    </x:row>
    <x:row r="133">
      <x:c r="A133" s="14" t="n">
        <x:v>132</x:v>
      </x:c>
      <x:c r="B133" s="18" t="str">
        <x:v>calculator charger</x:v>
      </x:c>
      <x:c r="C133" s="18" t="str">
        <x:v>transactional</x:v>
      </x:c>
      <x:c r="D133" s="26" t="n">
        <x:v>1000</x:v>
      </x:c>
      <x:c r="E133" s="28" t="n">
        <x:v>0.28</x:v>
      </x:c>
      <x:c r="F133" s="14" t="n">
        <x:v>78</x:v>
      </x:c>
      <x:c r="G133" s="14" t="n">
        <x:v>26</x:v>
      </x:c>
      <x:c r="H133" s="14" t="str">
        <x:v>Maybe</x:v>
      </x:c>
      <x:c r="I133" s="18" t="str">
        <x:v>Insufficiently specific; requires SERP validation before development</x:v>
      </x:c>
      <x:c r="J133" s="18" t="str">
        <x:v>General / Other</x:v>
      </x:c>
      <x:c r="K133" s="18" t="str">
        <x:v>Charger calculator</x:v>
      </x:c>
      <x:c r="L133" s="18" t="n">
        <x:v>1</x:v>
      </x:c>
      <x:c r="M133" s="18" t="str">
        <x:v>Easy</x:v>
      </x:c>
      <x:c r="N133" s="18" t="str">
        <x:v>Medium</x:v>
      </x:c>
      <x:c r="O133" s="18" t="str">
        <x:v>Ads</x:v>
      </x:c>
      <x:c r="P133" s="30" t="n">
        <x:f>MAX(0,100-G133)</x:f>
        <x:v>74</x:v>
      </x:c>
      <x:c r="Q133" s="30" t="n">
        <x:f>MIN(100,ROUND(LOG10(D133+1)*18,0))</x:f>
        <x:v>54</x:v>
      </x:c>
      <x:c r="R133" s="30" t="n">
        <x:f>MIN(100,ROUND(E133*12,0))</x:f>
        <x:v>3</x:v>
      </x:c>
      <x:c r="S133" s="30" t="n">
        <x:f>IF(H133="No",0,ROUND(P133*0.45+Q133*0.30+R133*0.15+IF(M133="Easy",10,IF(M133="Medium",6,2))+IF(N133="High",5,IF(N133="Medium",3,0)),1))</x:f>
        <x:v>63</x:v>
      </x:c>
      <x:c r="T133" s="14" t="str">
        <x:f>IF(H133="No","Exclude",IF(S133&gt;=70,"Priority 1",IF(S133&gt;=55,"Priority 2",IF(S133&gt;=40,"Priority 3","Low priority"))))</x:f>
        <x:v>Priority 2</x:v>
      </x:c>
    </x:row>
    <x:row r="134">
      <x:c r="A134" s="14" t="n">
        <x:v>133</x:v>
      </x:c>
      <x:c r="B134" s="18" t="str">
        <x:v>calculator gif</x:v>
      </x:c>
      <x:c r="C134" s="18" t="str">
        <x:v>informational</x:v>
      </x:c>
      <x:c r="D134" s="26" t="n">
        <x:v>390</x:v>
      </x:c>
      <x:c r="E134" s="28" t="n">
        <x:v>0</x:v>
      </x:c>
      <x:c r="F134" s="14" t="n">
        <x:v>1</x:v>
      </x:c>
      <x:c r="G134" s="14" t="n">
        <x:v>26</x:v>
      </x:c>
      <x:c r="H134" s="14" t="str">
        <x:v>Maybe</x:v>
      </x:c>
      <x:c r="I134" s="18" t="str">
        <x:v>Insufficiently specific; requires SERP validation before development</x:v>
      </x:c>
      <x:c r="J134" s="18" t="str">
        <x:v>General / Other</x:v>
      </x:c>
      <x:c r="K134" s="18" t="str">
        <x:v>Gif calculator</x:v>
      </x:c>
      <x:c r="L134" s="18" t="n">
        <x:v>1</x:v>
      </x:c>
      <x:c r="M134" s="18" t="str">
        <x:v>Easy</x:v>
      </x:c>
      <x:c r="N134" s="18" t="str">
        <x:v>Medium</x:v>
      </x:c>
      <x:c r="O134" s="18" t="str">
        <x:v>Ads</x:v>
      </x:c>
      <x:c r="P134" s="30" t="n">
        <x:f>MAX(0,100-G134)</x:f>
        <x:v>74</x:v>
      </x:c>
      <x:c r="Q134" s="30" t="n">
        <x:f>MIN(100,ROUND(LOG10(D134+1)*18,0))</x:f>
        <x:v>47</x:v>
      </x:c>
      <x:c r="R134" s="30" t="n">
        <x:f>MIN(100,ROUND(E134*12,0))</x:f>
        <x:v>0</x:v>
      </x:c>
      <x:c r="S134" s="30" t="n">
        <x:f>IF(H134="No",0,ROUND(P134*0.45+Q134*0.30+R134*0.15+IF(M134="Easy",10,IF(M134="Medium",6,2))+IF(N134="High",5,IF(N134="Medium",3,0)),1))</x:f>
        <x:v>60.4</x:v>
      </x:c>
      <x:c r="T134" s="14" t="str">
        <x:f>IF(H134="No","Exclude",IF(S134&gt;=70,"Priority 1",IF(S134&gt;=55,"Priority 2",IF(S134&gt;=40,"Priority 3","Low priority"))))</x:f>
        <x:v>Priority 2</x:v>
      </x:c>
    </x:row>
    <x:row r="135">
      <x:c r="A135" s="14" t="n">
        <x:v>134</x:v>
      </x:c>
      <x:c r="B135" s="18" t="str">
        <x:v>calculator uno</x:v>
      </x:c>
      <x:c r="C135" s="18" t="str">
        <x:v>transactional, informational</x:v>
      </x:c>
      <x:c r="D135" s="26" t="n">
        <x:v>390</x:v>
      </x:c>
      <x:c r="E135" s="28" t="n">
        <x:v>0</x:v>
      </x:c>
      <x:c r="F135" s="14" t="n">
        <x:v>1</x:v>
      </x:c>
      <x:c r="G135" s="14" t="n">
        <x:v>26</x:v>
      </x:c>
      <x:c r="H135" s="14" t="str">
        <x:v>Maybe</x:v>
      </x:c>
      <x:c r="I135" s="18" t="str">
        <x:v>Insufficiently specific; requires SERP validation before development</x:v>
      </x:c>
      <x:c r="J135" s="18" t="str">
        <x:v>General / Other</x:v>
      </x:c>
      <x:c r="K135" s="18" t="str">
        <x:v>Uno calculator</x:v>
      </x:c>
      <x:c r="L135" s="18" t="n">
        <x:v>1</x:v>
      </x:c>
      <x:c r="M135" s="18" t="str">
        <x:v>Easy</x:v>
      </x:c>
      <x:c r="N135" s="18" t="str">
        <x:v>Medium</x:v>
      </x:c>
      <x:c r="O135" s="18" t="str">
        <x:v>Ads</x:v>
      </x:c>
      <x:c r="P135" s="30" t="n">
        <x:f>MAX(0,100-G135)</x:f>
        <x:v>74</x:v>
      </x:c>
      <x:c r="Q135" s="30" t="n">
        <x:f>MIN(100,ROUND(LOG10(D135+1)*18,0))</x:f>
        <x:v>47</x:v>
      </x:c>
      <x:c r="R135" s="30" t="n">
        <x:f>MIN(100,ROUND(E135*12,0))</x:f>
        <x:v>0</x:v>
      </x:c>
      <x:c r="S135" s="30" t="n">
        <x:f>IF(H135="No",0,ROUND(P135*0.45+Q135*0.30+R135*0.15+IF(M135="Easy",10,IF(M135="Medium",6,2))+IF(N135="High",5,IF(N135="Medium",3,0)),1))</x:f>
        <x:v>60.4</x:v>
      </x:c>
      <x:c r="T135" s="14" t="str">
        <x:f>IF(H135="No","Exclude",IF(S135&gt;=70,"Priority 1",IF(S135&gt;=55,"Priority 2",IF(S135&gt;=40,"Priority 3","Low priority"))))</x:f>
        <x:v>Priority 2</x:v>
      </x:c>
    </x:row>
    <x:row r="136">
      <x:c r="A136" s="14" t="n">
        <x:v>135</x:v>
      </x:c>
      <x:c r="B136" s="18" t="str">
        <x:v>calculator extension</x:v>
      </x:c>
      <x:c r="C136" s="18" t="str">
        <x:v>informational</x:v>
      </x:c>
      <x:c r="D136" s="26" t="n">
        <x:v>390</x:v>
      </x:c>
      <x:c r="E136" s="28" t="n">
        <x:v>0</x:v>
      </x:c>
      <x:c r="F136" s="14" t="n">
        <x:v>1</x:v>
      </x:c>
      <x:c r="G136" s="14" t="n">
        <x:v>26</x:v>
      </x:c>
      <x:c r="H136" s="14" t="str">
        <x:v>Maybe</x:v>
      </x:c>
      <x:c r="I136" s="18" t="str">
        <x:v>Insufficiently specific; requires SERP validation before development</x:v>
      </x:c>
      <x:c r="J136" s="18" t="str">
        <x:v>General / Other</x:v>
      </x:c>
      <x:c r="K136" s="18" t="str">
        <x:v>Extension calculator</x:v>
      </x:c>
      <x:c r="L136" s="18" t="n">
        <x:v>1</x:v>
      </x:c>
      <x:c r="M136" s="18" t="str">
        <x:v>Easy</x:v>
      </x:c>
      <x:c r="N136" s="18" t="str">
        <x:v>Medium</x:v>
      </x:c>
      <x:c r="O136" s="18" t="str">
        <x:v>Ads</x:v>
      </x:c>
      <x:c r="P136" s="30" t="n">
        <x:f>MAX(0,100-G136)</x:f>
        <x:v>74</x:v>
      </x:c>
      <x:c r="Q136" s="30" t="n">
        <x:f>MIN(100,ROUND(LOG10(D136+1)*18,0))</x:f>
        <x:v>47</x:v>
      </x:c>
      <x:c r="R136" s="30" t="n">
        <x:f>MIN(100,ROUND(E136*12,0))</x:f>
        <x:v>0</x:v>
      </x:c>
      <x:c r="S136" s="30" t="n">
        <x:f>IF(H136="No",0,ROUND(P136*0.45+Q136*0.30+R136*0.15+IF(M136="Easy",10,IF(M136="Medium",6,2))+IF(N136="High",5,IF(N136="Medium",3,0)),1))</x:f>
        <x:v>60.4</x:v>
      </x:c>
      <x:c r="T136" s="14" t="str">
        <x:f>IF(H136="No","Exclude",IF(S136&gt;=70,"Priority 1",IF(S136&gt;=55,"Priority 2",IF(S136&gt;=40,"Priority 3","Low priority"))))</x:f>
        <x:v>Priority 2</x:v>
      </x:c>
    </x:row>
    <x:row r="137">
      <x:c r="A137" s="14" t="n">
        <x:v>136</x:v>
      </x:c>
      <x:c r="B137" s="18" t="str">
        <x:v>calculator 67</x:v>
      </x:c>
      <x:c r="C137" s="18" t="str">
        <x:v>transactional, informational</x:v>
      </x:c>
      <x:c r="D137" s="26" t="n">
        <x:v>260</x:v>
      </x:c>
      <x:c r="E137" s="28" t="n">
        <x:v>0</x:v>
      </x:c>
      <x:c r="F137" s="14" t="n">
        <x:v>1</x:v>
      </x:c>
      <x:c r="G137" s="14" t="n">
        <x:v>26</x:v>
      </x:c>
      <x:c r="H137" s="14" t="str">
        <x:v>No</x:v>
      </x:c>
      <x:c r="I137" s="18" t="str">
        <x:v>Model/number query, not a distinct web calculator</x:v>
      </x:c>
      <x:c r="J137" s="18" t="str">
        <x:v>Excluded / Non-calculator</x:v>
      </x:c>
      <x:c r="K137" s="18" t="str"/>
      <x:c r="L137" s="18" t="n">
        <x:v>0</x:v>
      </x:c>
      <x:c r="M137" s="18" t="str"/>
      <x:c r="N137" s="18" t="str"/>
      <x:c r="O137" s="18" t="str"/>
      <x:c r="P137" s="30" t="n">
        <x:f>MAX(0,100-G137)</x:f>
        <x:v>74</x:v>
      </x:c>
      <x:c r="Q137" s="30" t="n">
        <x:f>MIN(100,ROUND(LOG10(D137+1)*18,0))</x:f>
        <x:v>43</x:v>
      </x:c>
      <x:c r="R137" s="30" t="n">
        <x:f>MIN(100,ROUND(E137*12,0))</x:f>
        <x:v>0</x:v>
      </x:c>
      <x:c r="S137" s="30" t="n">
        <x:f>IF(H137="No",0,ROUND(P137*0.45+Q137*0.30+R137*0.15+IF(M137="Easy",10,IF(M137="Medium",6,2))+IF(N137="High",5,IF(N137="Medium",3,0)),1))</x:f>
        <x:v>0</x:v>
      </x:c>
      <x:c r="T137" s="14" t="str">
        <x:f>IF(H137="No","Exclude",IF(S137&gt;=70,"Priority 1",IF(S137&gt;=55,"Priority 2",IF(S137&gt;=40,"Priority 3","Low priority"))))</x:f>
        <x:v>Exclude</x:v>
      </x:c>
    </x:row>
    <x:row r="138">
      <x:c r="A138" s="14" t="n">
        <x:v>137</x:v>
      </x:c>
      <x:c r="B138" s="18" t="str">
        <x:v>0x3 calculator</x:v>
      </x:c>
      <x:c r="C138" s="18" t="str">
        <x:v>informational</x:v>
      </x:c>
      <x:c r="D138" s="26" t="n">
        <x:v>110</x:v>
      </x:c>
      <x:c r="E138" s="28" t="n">
        <x:v>0</x:v>
      </x:c>
      <x:c r="F138" s="14" t="n">
        <x:v>1</x:v>
      </x:c>
      <x:c r="G138" s="14" t="n">
        <x:v>26</x:v>
      </x:c>
      <x:c r="H138" s="14" t="str">
        <x:v>Maybe</x:v>
      </x:c>
      <x:c r="I138" s="18" t="str">
        <x:v>Insufficiently specific; requires SERP validation before development</x:v>
      </x:c>
      <x:c r="J138" s="18" t="str">
        <x:v>General / Other</x:v>
      </x:c>
      <x:c r="K138" s="18" t="str">
        <x:v>0X3 calculator</x:v>
      </x:c>
      <x:c r="L138" s="18" t="n">
        <x:v>1</x:v>
      </x:c>
      <x:c r="M138" s="18" t="str">
        <x:v>Easy</x:v>
      </x:c>
      <x:c r="N138" s="18" t="str">
        <x:v>Medium</x:v>
      </x:c>
      <x:c r="O138" s="18" t="str">
        <x:v>Ads</x:v>
      </x:c>
      <x:c r="P138" s="30" t="n">
        <x:f>MAX(0,100-G138)</x:f>
        <x:v>74</x:v>
      </x:c>
      <x:c r="Q138" s="30" t="n">
        <x:f>MIN(100,ROUND(LOG10(D138+1)*18,0))</x:f>
        <x:v>37</x:v>
      </x:c>
      <x:c r="R138" s="30" t="n">
        <x:f>MIN(100,ROUND(E138*12,0))</x:f>
        <x:v>0</x:v>
      </x:c>
      <x:c r="S138" s="30" t="n">
        <x:f>IF(H138="No",0,ROUND(P138*0.45+Q138*0.30+R138*0.15+IF(M138="Easy",10,IF(M138="Medium",6,2))+IF(N138="High",5,IF(N138="Medium",3,0)),1))</x:f>
        <x:v>57.4</x:v>
      </x:c>
      <x:c r="T138" s="14" t="str">
        <x:f>IF(H138="No","Exclude",IF(S138&gt;=70,"Priority 1",IF(S138&gt;=55,"Priority 2",IF(S138&gt;=40,"Priority 3","Low priority"))))</x:f>
        <x:v>Priority 2</x:v>
      </x:c>
    </x:row>
    <x:row r="139">
      <x:c r="A139" s="14" t="n">
        <x:v>138</x:v>
      </x:c>
      <x:c r="B139" s="18" t="str">
        <x:v>calculator 86</x:v>
      </x:c>
      <x:c r="C139" s="18" t="str">
        <x:v>transactional, informational</x:v>
      </x:c>
      <x:c r="D139" s="26" t="n">
        <x:v>70</x:v>
      </x:c>
      <x:c r="E139" s="28" t="n">
        <x:v>0</x:v>
      </x:c>
      <x:c r="F139" s="14" t="n">
        <x:v>18</x:v>
      </x:c>
      <x:c r="G139" s="14" t="n">
        <x:v>26</x:v>
      </x:c>
      <x:c r="H139" s="14" t="str">
        <x:v>No</x:v>
      </x:c>
      <x:c r="I139" s="18" t="str">
        <x:v>Model/number query, not a distinct web calculator</x:v>
      </x:c>
      <x:c r="J139" s="18" t="str">
        <x:v>Excluded / Non-calculator</x:v>
      </x:c>
      <x:c r="K139" s="18" t="str"/>
      <x:c r="L139" s="18" t="n">
        <x:v>0</x:v>
      </x:c>
      <x:c r="M139" s="18" t="str"/>
      <x:c r="N139" s="18" t="str"/>
      <x:c r="O139" s="18" t="str"/>
      <x:c r="P139" s="30" t="n">
        <x:f>MAX(0,100-G139)</x:f>
        <x:v>74</x:v>
      </x:c>
      <x:c r="Q139" s="30" t="n">
        <x:f>MIN(100,ROUND(LOG10(D139+1)*18,0))</x:f>
        <x:v>33</x:v>
      </x:c>
      <x:c r="R139" s="30" t="n">
        <x:f>MIN(100,ROUND(E139*12,0))</x:f>
        <x:v>0</x:v>
      </x:c>
      <x:c r="S139" s="30" t="n">
        <x:f>IF(H139="No",0,ROUND(P139*0.45+Q139*0.30+R139*0.15+IF(M139="Easy",10,IF(M139="Medium",6,2))+IF(N139="High",5,IF(N139="Medium",3,0)),1))</x:f>
        <x:v>0</x:v>
      </x:c>
      <x:c r="T139" s="14" t="str">
        <x:f>IF(H139="No","Exclude",IF(S139&gt;=70,"Priority 1",IF(S139&gt;=55,"Priority 2",IF(S139&gt;=40,"Priority 3","Low priority"))))</x:f>
        <x:v>Exclude</x:v>
      </x:c>
    </x:row>
    <x:row r="140">
      <x:c r="A140" s="14" t="n">
        <x:v>139</x:v>
      </x:c>
      <x:c r="B140" s="18" t="str">
        <x:v>calculator roguelike</x:v>
      </x:c>
      <x:c r="C140" s="18" t="str">
        <x:v>informational, transactional</x:v>
      </x:c>
      <x:c r="D140" s="26" t="n">
        <x:v>70</x:v>
      </x:c>
      <x:c r="E140" s="28" t="n">
        <x:v>0</x:v>
      </x:c>
      <x:c r="F140" s="14" t="n">
        <x:v>1</x:v>
      </x:c>
      <x:c r="G140" s="14" t="n">
        <x:v>26</x:v>
      </x:c>
      <x:c r="H140" s="14" t="str">
        <x:v>Maybe</x:v>
      </x:c>
      <x:c r="I140" s="18" t="str">
        <x:v>Insufficiently specific; requires SERP validation before development</x:v>
      </x:c>
      <x:c r="J140" s="18" t="str">
        <x:v>General / Other</x:v>
      </x:c>
      <x:c r="K140" s="18" t="str">
        <x:v>Roguelike calculator</x:v>
      </x:c>
      <x:c r="L140" s="18" t="n">
        <x:v>1</x:v>
      </x:c>
      <x:c r="M140" s="18" t="str">
        <x:v>Easy</x:v>
      </x:c>
      <x:c r="N140" s="18" t="str">
        <x:v>Medium</x:v>
      </x:c>
      <x:c r="O140" s="18" t="str">
        <x:v>Ads</x:v>
      </x:c>
      <x:c r="P140" s="30" t="n">
        <x:f>MAX(0,100-G140)</x:f>
        <x:v>74</x:v>
      </x:c>
      <x:c r="Q140" s="30" t="n">
        <x:f>MIN(100,ROUND(LOG10(D140+1)*18,0))</x:f>
        <x:v>33</x:v>
      </x:c>
      <x:c r="R140" s="30" t="n">
        <x:f>MIN(100,ROUND(E140*12,0))</x:f>
        <x:v>0</x:v>
      </x:c>
      <x:c r="S140" s="30" t="n">
        <x:f>IF(H140="No",0,ROUND(P140*0.45+Q140*0.30+R140*0.15+IF(M140="Easy",10,IF(M140="Medium",6,2))+IF(N140="High",5,IF(N140="Medium",3,0)),1))</x:f>
        <x:v>56.2</x:v>
      </x:c>
      <x:c r="T140" s="14" t="str">
        <x:f>IF(H140="No","Exclude",IF(S140&gt;=70,"Priority 1",IF(S140&gt;=55,"Priority 2",IF(S140&gt;=40,"Priority 3","Low priority"))))</x:f>
        <x:v>Priority 2</x:v>
      </x:c>
    </x:row>
    <x:row r="141">
      <x:c r="A141" s="14" t="n">
        <x:v>140</x:v>
      </x:c>
      <x:c r="B141" s="18" t="str">
        <x:v>calculator keeps opening windows 11</x:v>
      </x:c>
      <x:c r="C141" s="18" t="str">
        <x:v>transactional</x:v>
      </x:c>
      <x:c r="D141" s="26" t="n">
        <x:v>30</x:v>
      </x:c>
      <x:c r="E141" s="28" t="n">
        <x:v>0</x:v>
      </x:c>
      <x:c r="F141" s="14" t="n">
        <x:v>1</x:v>
      </x:c>
      <x:c r="G141" s="14" t="n">
        <x:v>26</x:v>
      </x:c>
      <x:c r="H141" s="14" t="str">
        <x:v>No</x:v>
      </x:c>
      <x:c r="I141" s="18" t="str">
        <x:v>App/product/brand/navigation/media intent rather than a calculation</x:v>
      </x:c>
      <x:c r="J141" s="18" t="str">
        <x:v>Excluded / Non-calculator</x:v>
      </x:c>
      <x:c r="K141" s="18" t="str"/>
      <x:c r="L141" s="18" t="n">
        <x:v>0</x:v>
      </x:c>
      <x:c r="M141" s="18" t="str"/>
      <x:c r="N141" s="18" t="str"/>
      <x:c r="O141" s="18" t="str"/>
      <x:c r="P141" s="30" t="n">
        <x:f>MAX(0,100-G141)</x:f>
        <x:v>74</x:v>
      </x:c>
      <x:c r="Q141" s="30" t="n">
        <x:f>MIN(100,ROUND(LOG10(D141+1)*18,0))</x:f>
        <x:v>27</x:v>
      </x:c>
      <x:c r="R141" s="30" t="n">
        <x:f>MIN(100,ROUND(E141*12,0))</x:f>
        <x:v>0</x:v>
      </x:c>
      <x:c r="S141" s="30" t="n">
        <x:f>IF(H141="No",0,ROUND(P141*0.45+Q141*0.30+R141*0.15+IF(M141="Easy",10,IF(M141="Medium",6,2))+IF(N141="High",5,IF(N141="Medium",3,0)),1))</x:f>
        <x:v>0</x:v>
      </x:c>
      <x:c r="T141" s="14" t="str">
        <x:f>IF(H141="No","Exclude",IF(S141&gt;=70,"Priority 1",IF(S141&gt;=55,"Priority 2",IF(S141&gt;=40,"Priority 3","Low priority"))))</x:f>
        <x:v>Exclude</x:v>
      </x:c>
    </x:row>
    <x:row r="142">
      <x:c r="A142" s="14" t="n">
        <x:v>141</x:v>
      </x:c>
      <x:c r="B142" s="18" t="str">
        <x:v>calculator loan interest</x:v>
      </x:c>
      <x:c r="C142" s="18" t="str">
        <x:v>null</x:v>
      </x:c>
      <x:c r="D142" s="26" t="n">
        <x:v>27100</x:v>
      </x:c>
      <x:c r="E142" s="28" t="n">
        <x:v>2.34</x:v>
      </x:c>
      <x:c r="F142" s="14" t="n">
        <x:v>19</x:v>
      </x:c>
      <x:c r="G142" s="14" t="n">
        <x:v>27</x:v>
      </x:c>
      <x:c r="H142" s="14" t="str">
        <x:v>Yes</x:v>
      </x:c>
      <x:c r="I142" s="18" t="str">
        <x:v>Clear calculation, conversion, estimation, or formula intent</x:v>
      </x:c>
      <x:c r="J142" s="18" t="str">
        <x:v>Loans &amp; Auto Finance</x:v>
      </x:c>
      <x:c r="K142" s="18" t="str">
        <x:v>Loan Interest calculator</x:v>
      </x:c>
      <x:c r="L142" s="18" t="n">
        <x:v>1</x:v>
      </x:c>
      <x:c r="M142" s="18" t="str">
        <x:v>Medium</x:v>
      </x:c>
      <x:c r="N142" s="18" t="str">
        <x:v>High</x:v>
      </x:c>
      <x:c r="O142" s="18" t="str">
        <x:v>Leads / Ads / Affiliate</x:v>
      </x:c>
      <x:c r="P142" s="30" t="n">
        <x:f>MAX(0,100-G142)</x:f>
        <x:v>73</x:v>
      </x:c>
      <x:c r="Q142" s="30" t="n">
        <x:f>MIN(100,ROUND(LOG10(D142+1)*18,0))</x:f>
        <x:v>80</x:v>
      </x:c>
      <x:c r="R142" s="30" t="n">
        <x:f>MIN(100,ROUND(E142*12,0))</x:f>
        <x:v>28</x:v>
      </x:c>
      <x:c r="S142" s="30" t="n">
        <x:f>IF(H142="No",0,ROUND(P142*0.45+Q142*0.30+R142*0.15+IF(M142="Easy",10,IF(M142="Medium",6,2))+IF(N142="High",5,IF(N142="Medium",3,0)),1))</x:f>
        <x:v>72.1</x:v>
      </x:c>
      <x:c r="T142" s="14" t="str">
        <x:f>IF(H142="No","Exclude",IF(S142&gt;=70,"Priority 1",IF(S142&gt;=55,"Priority 2",IF(S142&gt;=40,"Priority 3","Low priority"))))</x:f>
        <x:v>Priority 1</x:v>
      </x:c>
    </x:row>
    <x:row r="143">
      <x:c r="A143" s="14" t="n">
        <x:v>142</x:v>
      </x:c>
      <x:c r="B143" s="18" t="str">
        <x:v>calculator app icon</x:v>
      </x:c>
      <x:c r="C143" s="18" t="str">
        <x:v>informational</x:v>
      </x:c>
      <x:c r="D143" s="26" t="n">
        <x:v>590</x:v>
      </x:c>
      <x:c r="E143" s="28" t="n">
        <x:v>1.06</x:v>
      </x:c>
      <x:c r="F143" s="14" t="n">
        <x:v>1</x:v>
      </x:c>
      <x:c r="G143" s="14" t="n">
        <x:v>27</x:v>
      </x:c>
      <x:c r="H143" s="14" t="str">
        <x:v>No</x:v>
      </x:c>
      <x:c r="I143" s="18" t="str">
        <x:v>App/product/brand/navigation/media intent rather than a calculation</x:v>
      </x:c>
      <x:c r="J143" s="18" t="str">
        <x:v>Excluded / Non-calculator</x:v>
      </x:c>
      <x:c r="K143" s="18" t="str"/>
      <x:c r="L143" s="18" t="n">
        <x:v>0</x:v>
      </x:c>
      <x:c r="M143" s="18" t="str"/>
      <x:c r="N143" s="18" t="str"/>
      <x:c r="O143" s="18" t="str"/>
      <x:c r="P143" s="30" t="n">
        <x:f>MAX(0,100-G143)</x:f>
        <x:v>73</x:v>
      </x:c>
      <x:c r="Q143" s="30" t="n">
        <x:f>MIN(100,ROUND(LOG10(D143+1)*18,0))</x:f>
        <x:v>50</x:v>
      </x:c>
      <x:c r="R143" s="30" t="n">
        <x:f>MIN(100,ROUND(E143*12,0))</x:f>
        <x:v>13</x:v>
      </x:c>
      <x:c r="S143" s="30" t="n">
        <x:f>IF(H143="No",0,ROUND(P143*0.45+Q143*0.30+R143*0.15+IF(M143="Easy",10,IF(M143="Medium",6,2))+IF(N143="High",5,IF(N143="Medium",3,0)),1))</x:f>
        <x:v>0</x:v>
      </x:c>
      <x:c r="T143" s="14" t="str">
        <x:f>IF(H143="No","Exclude",IF(S143&gt;=70,"Priority 1",IF(S143&gt;=55,"Priority 2",IF(S143&gt;=40,"Priority 3","Low priority"))))</x:f>
        <x:v>Exclude</x:v>
      </x:c>
    </x:row>
    <x:row r="144">
      <x:c r="A144" s="14" t="n">
        <x:v>143</x:v>
      </x:c>
      <x:c r="B144" s="18" t="str">
        <x:v>calculator jokes</x:v>
      </x:c>
      <x:c r="C144" s="18" t="str">
        <x:v>informational</x:v>
      </x:c>
      <x:c r="D144" s="26" t="n">
        <x:v>260</x:v>
      </x:c>
      <x:c r="E144" s="28" t="n">
        <x:v>0.33</x:v>
      </x:c>
      <x:c r="F144" s="14" t="n">
        <x:v>1</x:v>
      </x:c>
      <x:c r="G144" s="14" t="n">
        <x:v>27</x:v>
      </x:c>
      <x:c r="H144" s="14" t="str">
        <x:v>Maybe</x:v>
      </x:c>
      <x:c r="I144" s="18" t="str">
        <x:v>Insufficiently specific; requires SERP validation before development</x:v>
      </x:c>
      <x:c r="J144" s="18" t="str">
        <x:v>General / Other</x:v>
      </x:c>
      <x:c r="K144" s="18" t="str">
        <x:v>Jokes calculator</x:v>
      </x:c>
      <x:c r="L144" s="18" t="n">
        <x:v>1</x:v>
      </x:c>
      <x:c r="M144" s="18" t="str">
        <x:v>Easy</x:v>
      </x:c>
      <x:c r="N144" s="18" t="str">
        <x:v>Medium</x:v>
      </x:c>
      <x:c r="O144" s="18" t="str">
        <x:v>Ads</x:v>
      </x:c>
      <x:c r="P144" s="30" t="n">
        <x:f>MAX(0,100-G144)</x:f>
        <x:v>73</x:v>
      </x:c>
      <x:c r="Q144" s="30" t="n">
        <x:f>MIN(100,ROUND(LOG10(D144+1)*18,0))</x:f>
        <x:v>43</x:v>
      </x:c>
      <x:c r="R144" s="30" t="n">
        <x:f>MIN(100,ROUND(E144*12,0))</x:f>
        <x:v>4</x:v>
      </x:c>
      <x:c r="S144" s="30" t="n">
        <x:f>IF(H144="No",0,ROUND(P144*0.45+Q144*0.30+R144*0.15+IF(M144="Easy",10,IF(M144="Medium",6,2))+IF(N144="High",5,IF(N144="Medium",3,0)),1))</x:f>
        <x:v>59.4</x:v>
      </x:c>
      <x:c r="T144" s="14" t="str">
        <x:f>IF(H144="No","Exclude",IF(S144&gt;=70,"Priority 1",IF(S144&gt;=55,"Priority 2",IF(S144&gt;=40,"Priority 3","Low priority"))))</x:f>
        <x:v>Priority 2</x:v>
      </x:c>
    </x:row>
    <x:row r="145">
      <x:c r="A145" s="14" t="n">
        <x:v>144</x:v>
      </x:c>
      <x:c r="B145" s="18" t="str">
        <x:v>calculator 18</x:v>
      </x:c>
      <x:c r="C145" s="18" t="str">
        <x:v>informational, transactional</x:v>
      </x:c>
      <x:c r="D145" s="26" t="n">
        <x:v>110</x:v>
      </x:c>
      <x:c r="E145" s="28" t="n">
        <x:v>0</x:v>
      </x:c>
      <x:c r="F145" s="14" t="n">
        <x:v>1</x:v>
      </x:c>
      <x:c r="G145" s="14" t="n">
        <x:v>27</x:v>
      </x:c>
      <x:c r="H145" s="14" t="str">
        <x:v>No</x:v>
      </x:c>
      <x:c r="I145" s="18" t="str">
        <x:v>Model/number query, not a distinct web calculator</x:v>
      </x:c>
      <x:c r="J145" s="18" t="str">
        <x:v>Excluded / Non-calculator</x:v>
      </x:c>
      <x:c r="K145" s="18" t="str"/>
      <x:c r="L145" s="18" t="n">
        <x:v>0</x:v>
      </x:c>
      <x:c r="M145" s="18" t="str"/>
      <x:c r="N145" s="18" t="str"/>
      <x:c r="O145" s="18" t="str"/>
      <x:c r="P145" s="30" t="n">
        <x:f>MAX(0,100-G145)</x:f>
        <x:v>73</x:v>
      </x:c>
      <x:c r="Q145" s="30" t="n">
        <x:f>MIN(100,ROUND(LOG10(D145+1)*18,0))</x:f>
        <x:v>37</x:v>
      </x:c>
      <x:c r="R145" s="30" t="n">
        <x:f>MIN(100,ROUND(E145*12,0))</x:f>
        <x:v>0</x:v>
      </x:c>
      <x:c r="S145" s="30" t="n">
        <x:f>IF(H145="No",0,ROUND(P145*0.45+Q145*0.30+R145*0.15+IF(M145="Easy",10,IF(M145="Medium",6,2))+IF(N145="High",5,IF(N145="Medium",3,0)),1))</x:f>
        <x:v>0</x:v>
      </x:c>
      <x:c r="T145" s="14" t="str">
        <x:f>IF(H145="No","Exclude",IF(S145&gt;=70,"Priority 1",IF(S145&gt;=55,"Priority 2",IF(S145&gt;=40,"Priority 3","Low priority"))))</x:f>
        <x:v>Exclude</x:v>
      </x:c>
    </x:row>
    <x:row r="146">
      <x:c r="A146" s="14" t="n">
        <x:v>145</x:v>
      </x:c>
      <x:c r="B146" s="18" t="str">
        <x:v>calculator launcher</x:v>
      </x:c>
      <x:c r="C146" s="18" t="str">
        <x:v>transactional, navigational, informational</x:v>
      </x:c>
      <x:c r="D146" s="26" t="n">
        <x:v>110</x:v>
      </x:c>
      <x:c r="E146" s="28" t="n">
        <x:v>0.88</x:v>
      </x:c>
      <x:c r="F146" s="14" t="n">
        <x:v>10</x:v>
      </x:c>
      <x:c r="G146" s="14" t="n">
        <x:v>27</x:v>
      </x:c>
      <x:c r="H146" s="14" t="str">
        <x:v>Maybe</x:v>
      </x:c>
      <x:c r="I146" s="18" t="str">
        <x:v>Insufficiently specific; requires SERP validation before development</x:v>
      </x:c>
      <x:c r="J146" s="18" t="str">
        <x:v>General / Other</x:v>
      </x:c>
      <x:c r="K146" s="18" t="str">
        <x:v>Launcher calculator</x:v>
      </x:c>
      <x:c r="L146" s="18" t="n">
        <x:v>1</x:v>
      </x:c>
      <x:c r="M146" s="18" t="str">
        <x:v>Easy</x:v>
      </x:c>
      <x:c r="N146" s="18" t="str">
        <x:v>Medium</x:v>
      </x:c>
      <x:c r="O146" s="18" t="str">
        <x:v>Ads</x:v>
      </x:c>
      <x:c r="P146" s="30" t="n">
        <x:f>MAX(0,100-G146)</x:f>
        <x:v>73</x:v>
      </x:c>
      <x:c r="Q146" s="30" t="n">
        <x:f>MIN(100,ROUND(LOG10(D146+1)*18,0))</x:f>
        <x:v>37</x:v>
      </x:c>
      <x:c r="R146" s="30" t="n">
        <x:f>MIN(100,ROUND(E146*12,0))</x:f>
        <x:v>11</x:v>
      </x:c>
      <x:c r="S146" s="30" t="n">
        <x:f>IF(H146="No",0,ROUND(P146*0.45+Q146*0.30+R146*0.15+IF(M146="Easy",10,IF(M146="Medium",6,2))+IF(N146="High",5,IF(N146="Medium",3,0)),1))</x:f>
        <x:v>58.6</x:v>
      </x:c>
      <x:c r="T146" s="14" t="str">
        <x:f>IF(H146="No","Exclude",IF(S146&gt;=70,"Priority 1",IF(S146&gt;=55,"Priority 2",IF(S146&gt;=40,"Priority 3","Low priority"))))</x:f>
        <x:v>Priority 2</x:v>
      </x:c>
    </x:row>
    <x:row r="147">
      <x:c r="A147" s="14" t="n">
        <x:v>146</x:v>
      </x:c>
      <x:c r="B147" s="18" t="str">
        <x:v>calculator 30xiis</x:v>
      </x:c>
      <x:c r="C147" s="18" t="str">
        <x:v>transactional</x:v>
      </x:c>
      <x:c r="D147" s="26" t="n">
        <x:v>70</x:v>
      </x:c>
      <x:c r="E147" s="28" t="n">
        <x:v>0.03</x:v>
      </x:c>
      <x:c r="F147" s="14" t="n">
        <x:v>78</x:v>
      </x:c>
      <x:c r="G147" s="14" t="n">
        <x:v>27</x:v>
      </x:c>
      <x:c r="H147" s="14" t="str">
        <x:v>Maybe</x:v>
      </x:c>
      <x:c r="I147" s="18" t="str">
        <x:v>Insufficiently specific; requires SERP validation before development</x:v>
      </x:c>
      <x:c r="J147" s="18" t="str">
        <x:v>General / Other</x:v>
      </x:c>
      <x:c r="K147" s="18" t="str">
        <x:v>30Xiis calculator</x:v>
      </x:c>
      <x:c r="L147" s="18" t="n">
        <x:v>1</x:v>
      </x:c>
      <x:c r="M147" s="18" t="str">
        <x:v>Easy</x:v>
      </x:c>
      <x:c r="N147" s="18" t="str">
        <x:v>Medium</x:v>
      </x:c>
      <x:c r="O147" s="18" t="str">
        <x:v>Ads</x:v>
      </x:c>
      <x:c r="P147" s="30" t="n">
        <x:f>MAX(0,100-G147)</x:f>
        <x:v>73</x:v>
      </x:c>
      <x:c r="Q147" s="30" t="n">
        <x:f>MIN(100,ROUND(LOG10(D147+1)*18,0))</x:f>
        <x:v>33</x:v>
      </x:c>
      <x:c r="R147" s="30" t="n">
        <x:f>MIN(100,ROUND(E147*12,0))</x:f>
        <x:v>0</x:v>
      </x:c>
      <x:c r="S147" s="30" t="n">
        <x:f>IF(H147="No",0,ROUND(P147*0.45+Q147*0.30+R147*0.15+IF(M147="Easy",10,IF(M147="Medium",6,2))+IF(N147="High",5,IF(N147="Medium",3,0)),1))</x:f>
        <x:v>55.8</x:v>
      </x:c>
      <x:c r="T147" s="14" t="str">
        <x:f>IF(H147="No","Exclude",IF(S147&gt;=70,"Priority 1",IF(S147&gt;=55,"Priority 2",IF(S147&gt;=40,"Priority 3","Low priority"))))</x:f>
        <x:v>Priority 2</x:v>
      </x:c>
    </x:row>
    <x:row r="148">
      <x:c r="A148" s="14" t="n">
        <x:v>147</x:v>
      </x:c>
      <x:c r="B148" s="18" t="str">
        <x:v>calculator 75</x:v>
      </x:c>
      <x:c r="C148" s="18" t="str">
        <x:v>transactional, informational</x:v>
      </x:c>
      <x:c r="D148" s="26" t="n">
        <x:v>70</x:v>
      </x:c>
      <x:c r="E148" s="28" t="n">
        <x:v>0</x:v>
      </x:c>
      <x:c r="F148" s="14" t="n">
        <x:v>1</x:v>
      </x:c>
      <x:c r="G148" s="14" t="n">
        <x:v>27</x:v>
      </x:c>
      <x:c r="H148" s="14" t="str">
        <x:v>No</x:v>
      </x:c>
      <x:c r="I148" s="18" t="str">
        <x:v>Model/number query, not a distinct web calculator</x:v>
      </x:c>
      <x:c r="J148" s="18" t="str">
        <x:v>Excluded / Non-calculator</x:v>
      </x:c>
      <x:c r="K148" s="18" t="str"/>
      <x:c r="L148" s="18" t="n">
        <x:v>0</x:v>
      </x:c>
      <x:c r="M148" s="18" t="str"/>
      <x:c r="N148" s="18" t="str"/>
      <x:c r="O148" s="18" t="str"/>
      <x:c r="P148" s="30" t="n">
        <x:f>MAX(0,100-G148)</x:f>
        <x:v>73</x:v>
      </x:c>
      <x:c r="Q148" s="30" t="n">
        <x:f>MIN(100,ROUND(LOG10(D148+1)*18,0))</x:f>
        <x:v>33</x:v>
      </x:c>
      <x:c r="R148" s="30" t="n">
        <x:f>MIN(100,ROUND(E148*12,0))</x:f>
        <x:v>0</x:v>
      </x:c>
      <x:c r="S148" s="30" t="n">
        <x:f>IF(H148="No",0,ROUND(P148*0.45+Q148*0.30+R148*0.15+IF(M148="Easy",10,IF(M148="Medium",6,2))+IF(N148="High",5,IF(N148="Medium",3,0)),1))</x:f>
        <x:v>0</x:v>
      </x:c>
      <x:c r="T148" s="14" t="str">
        <x:f>IF(H148="No","Exclude",IF(S148&gt;=70,"Priority 1",IF(S148&gt;=55,"Priority 2",IF(S148&gt;=40,"Priority 3","Low priority"))))</x:f>
        <x:v>Exclude</x:v>
      </x:c>
    </x:row>
    <x:row r="149">
      <x:c r="A149" s="14" t="n">
        <x:v>148</x:v>
      </x:c>
      <x:c r="B149" s="18" t="str">
        <x:v>calculator launcher app</x:v>
      </x:c>
      <x:c r="C149" s="18" t="str">
        <x:v>navigational, transactional</x:v>
      </x:c>
      <x:c r="D149" s="26" t="n">
        <x:v>50</x:v>
      </x:c>
      <x:c r="E149" s="28" t="n">
        <x:v>1.38</x:v>
      </x:c>
      <x:c r="F149" s="14" t="n">
        <x:v>16</x:v>
      </x:c>
      <x:c r="G149" s="14" t="n">
        <x:v>27</x:v>
      </x:c>
      <x:c r="H149" s="14" t="str">
        <x:v>No</x:v>
      </x:c>
      <x:c r="I149" s="18" t="str">
        <x:v>App/product/brand/navigation/media intent rather than a calculation</x:v>
      </x:c>
      <x:c r="J149" s="18" t="str">
        <x:v>Excluded / Non-calculator</x:v>
      </x:c>
      <x:c r="K149" s="18" t="str"/>
      <x:c r="L149" s="18" t="n">
        <x:v>0</x:v>
      </x:c>
      <x:c r="M149" s="18" t="str"/>
      <x:c r="N149" s="18" t="str"/>
      <x:c r="O149" s="18" t="str"/>
      <x:c r="P149" s="30" t="n">
        <x:f>MAX(0,100-G149)</x:f>
        <x:v>73</x:v>
      </x:c>
      <x:c r="Q149" s="30" t="n">
        <x:f>MIN(100,ROUND(LOG10(D149+1)*18,0))</x:f>
        <x:v>31</x:v>
      </x:c>
      <x:c r="R149" s="30" t="n">
        <x:f>MIN(100,ROUND(E149*12,0))</x:f>
        <x:v>17</x:v>
      </x:c>
      <x:c r="S149" s="30" t="n">
        <x:f>IF(H149="No",0,ROUND(P149*0.45+Q149*0.30+R149*0.15+IF(M149="Easy",10,IF(M149="Medium",6,2))+IF(N149="High",5,IF(N149="Medium",3,0)),1))</x:f>
        <x:v>0</x:v>
      </x:c>
      <x:c r="T149" s="14" t="str">
        <x:f>IF(H149="No","Exclude",IF(S149&gt;=70,"Priority 1",IF(S149&gt;=55,"Priority 2",IF(S149&gt;=40,"Priority 3","Low priority"))))</x:f>
        <x:v>Exclude</x:v>
      </x:c>
    </x:row>
    <x:row r="150">
      <x:c r="A150" s="14" t="n">
        <x:v>149</x:v>
      </x:c>
      <x:c r="B150" s="18" t="str">
        <x:v>calculator 991es</x:v>
      </x:c>
      <x:c r="C150" s="18" t="str">
        <x:v>navigational, commercial</x:v>
      </x:c>
      <x:c r="D150" s="26" t="n">
        <x:v>30</x:v>
      </x:c>
      <x:c r="E150" s="28" t="n">
        <x:v>0.14</x:v>
      </x:c>
      <x:c r="F150" s="14" t="n">
        <x:v>100</x:v>
      </x:c>
      <x:c r="G150" s="14" t="n">
        <x:v>27</x:v>
      </x:c>
      <x:c r="H150" s="14" t="str">
        <x:v>No</x:v>
      </x:c>
      <x:c r="I150" s="18" t="str">
        <x:v>App/product/brand/navigation/media intent rather than a calculation</x:v>
      </x:c>
      <x:c r="J150" s="18" t="str">
        <x:v>Excluded / Non-calculator</x:v>
      </x:c>
      <x:c r="K150" s="18" t="str"/>
      <x:c r="L150" s="18" t="n">
        <x:v>0</x:v>
      </x:c>
      <x:c r="M150" s="18" t="str"/>
      <x:c r="N150" s="18" t="str"/>
      <x:c r="O150" s="18" t="str"/>
      <x:c r="P150" s="30" t="n">
        <x:f>MAX(0,100-G150)</x:f>
        <x:v>73</x:v>
      </x:c>
      <x:c r="Q150" s="30" t="n">
        <x:f>MIN(100,ROUND(LOG10(D150+1)*18,0))</x:f>
        <x:v>27</x:v>
      </x:c>
      <x:c r="R150" s="30" t="n">
        <x:f>MIN(100,ROUND(E150*12,0))</x:f>
        <x:v>2</x:v>
      </x:c>
      <x:c r="S150" s="30" t="n">
        <x:f>IF(H150="No",0,ROUND(P150*0.45+Q150*0.30+R150*0.15+IF(M150="Easy",10,IF(M150="Medium",6,2))+IF(N150="High",5,IF(N150="Medium",3,0)),1))</x:f>
        <x:v>0</x:v>
      </x:c>
      <x:c r="T150" s="14" t="str">
        <x:f>IF(H150="No","Exclude",IF(S150&gt;=70,"Priority 1",IF(S150&gt;=55,"Priority 2",IF(S150&gt;=40,"Priority 3","Low priority"))))</x:f>
        <x:v>Exclude</x:v>
      </x:c>
    </x:row>
    <x:row r="151">
      <x:c r="A151" s="14" t="n">
        <x:v>150</x:v>
      </x:c>
      <x:c r="B151" s="18" t="str">
        <x:v>calculator elden ring</x:v>
      </x:c>
      <x:c r="C151" s="18" t="str">
        <x:v>informational</x:v>
      </x:c>
      <x:c r="D151" s="26" t="n">
        <x:v>30</x:v>
      </x:c>
      <x:c r="E151" s="28" t="n">
        <x:v>0</x:v>
      </x:c>
      <x:c r="F151" s="14" t="n">
        <x:v>1</x:v>
      </x:c>
      <x:c r="G151" s="14" t="n">
        <x:v>27</x:v>
      </x:c>
      <x:c r="H151" s="14" t="str">
        <x:v>Maybe</x:v>
      </x:c>
      <x:c r="I151" s="18" t="str">
        <x:v>Insufficiently specific; requires SERP validation before development</x:v>
      </x:c>
      <x:c r="J151" s="18" t="str">
        <x:v>General / Other</x:v>
      </x:c>
      <x:c r="K151" s="18" t="str">
        <x:v>Elden Ring calculator</x:v>
      </x:c>
      <x:c r="L151" s="18" t="n">
        <x:v>1</x:v>
      </x:c>
      <x:c r="M151" s="18" t="str">
        <x:v>Easy</x:v>
      </x:c>
      <x:c r="N151" s="18" t="str">
        <x:v>Medium</x:v>
      </x:c>
      <x:c r="O151" s="18" t="str">
        <x:v>Ads</x:v>
      </x:c>
      <x:c r="P151" s="30" t="n">
        <x:f>MAX(0,100-G151)</x:f>
        <x:v>73</x:v>
      </x:c>
      <x:c r="Q151" s="30" t="n">
        <x:f>MIN(100,ROUND(LOG10(D151+1)*18,0))</x:f>
        <x:v>27</x:v>
      </x:c>
      <x:c r="R151" s="30" t="n">
        <x:f>MIN(100,ROUND(E151*12,0))</x:f>
        <x:v>0</x:v>
      </x:c>
      <x:c r="S151" s="30" t="n">
        <x:f>IF(H151="No",0,ROUND(P151*0.45+Q151*0.30+R151*0.15+IF(M151="Easy",10,IF(M151="Medium",6,2))+IF(N151="High",5,IF(N151="Medium",3,0)),1))</x:f>
        <x:v>54</x:v>
      </x:c>
      <x:c r="T151" s="14" t="str">
        <x:f>IF(H151="No","Exclude",IF(S151&gt;=70,"Priority 1",IF(S151&gt;=55,"Priority 2",IF(S151&gt;=40,"Priority 3","Low priority"))))</x:f>
        <x:v>Priority 3</x:v>
      </x:c>
    </x:row>
    <x:row r="152">
      <x:c r="A152" s="14" t="n">
        <x:v>151</x:v>
      </x:c>
      <x:c r="B152" s="18" t="str">
        <x:v>calculator for cd interest</x:v>
      </x:c>
      <x:c r="C152" s="18" t="str">
        <x:v>informational</x:v>
      </x:c>
      <x:c r="D152" s="26" t="n">
        <x:v>33100</x:v>
      </x:c>
      <x:c r="E152" s="28" t="n">
        <x:v>3.98</x:v>
      </x:c>
      <x:c r="F152" s="14" t="n">
        <x:v>40</x:v>
      </x:c>
      <x:c r="G152" s="14" t="n">
        <x:v>28</x:v>
      </x:c>
      <x:c r="H152" s="14" t="str">
        <x:v>Yes</x:v>
      </x:c>
      <x:c r="I152" s="18" t="str">
        <x:v>Clear calculation, conversion, estimation, or formula intent</x:v>
      </x:c>
      <x:c r="J152" s="18" t="str">
        <x:v>General / Other</x:v>
      </x:c>
      <x:c r="K152" s="18" t="str">
        <x:v>Cd Interest calculator</x:v>
      </x:c>
      <x:c r="L152" s="18" t="n">
        <x:v>1</x:v>
      </x:c>
      <x:c r="M152" s="18" t="str">
        <x:v>Easy</x:v>
      </x:c>
      <x:c r="N152" s="18" t="str">
        <x:v>Medium</x:v>
      </x:c>
      <x:c r="O152" s="18" t="str">
        <x:v>Ads</x:v>
      </x:c>
      <x:c r="P152" s="30" t="n">
        <x:f>MAX(0,100-G152)</x:f>
        <x:v>72</x:v>
      </x:c>
      <x:c r="Q152" s="30" t="n">
        <x:f>MIN(100,ROUND(LOG10(D152+1)*18,0))</x:f>
        <x:v>81</x:v>
      </x:c>
      <x:c r="R152" s="30" t="n">
        <x:f>MIN(100,ROUND(E152*12,0))</x:f>
        <x:v>48</x:v>
      </x:c>
      <x:c r="S152" s="30" t="n">
        <x:f>IF(H152="No",0,ROUND(P152*0.45+Q152*0.30+R152*0.15+IF(M152="Easy",10,IF(M152="Medium",6,2))+IF(N152="High",5,IF(N152="Medium",3,0)),1))</x:f>
        <x:v>76.9</x:v>
      </x:c>
      <x:c r="T152" s="14" t="str">
        <x:f>IF(H152="No","Exclude",IF(S152&gt;=70,"Priority 1",IF(S152&gt;=55,"Priority 2",IF(S152&gt;=40,"Priority 3","Low priority"))))</x:f>
        <x:v>Priority 1</x:v>
      </x:c>
    </x:row>
    <x:row r="153">
      <x:c r="A153" s="14" t="n">
        <x:v>152</x:v>
      </x:c>
      <x:c r="B153" s="18" t="str">
        <x:v>calculator va</x:v>
      </x:c>
      <x:c r="C153" s="18" t="str">
        <x:v>null</x:v>
      </x:c>
      <x:c r="D153" s="26" t="n">
        <x:v>27100</x:v>
      </x:c>
      <x:c r="E153" s="28" t="n">
        <x:v>2.01</x:v>
      </x:c>
      <x:c r="F153" s="14" t="n">
        <x:v>4</x:v>
      </x:c>
      <x:c r="G153" s="14" t="n">
        <x:v>28</x:v>
      </x:c>
      <x:c r="H153" s="14" t="str">
        <x:v>Maybe</x:v>
      </x:c>
      <x:c r="I153" s="18" t="str">
        <x:v>Insufficiently specific; requires SERP validation before development</x:v>
      </x:c>
      <x:c r="J153" s="18" t="str">
        <x:v>General / Other</x:v>
      </x:c>
      <x:c r="K153" s="18" t="str">
        <x:v>Va calculator</x:v>
      </x:c>
      <x:c r="L153" s="18" t="n">
        <x:v>1</x:v>
      </x:c>
      <x:c r="M153" s="18" t="str">
        <x:v>Easy</x:v>
      </x:c>
      <x:c r="N153" s="18" t="str">
        <x:v>Medium</x:v>
      </x:c>
      <x:c r="O153" s="18" t="str">
        <x:v>Ads</x:v>
      </x:c>
      <x:c r="P153" s="30" t="n">
        <x:f>MAX(0,100-G153)</x:f>
        <x:v>72</x:v>
      </x:c>
      <x:c r="Q153" s="30" t="n">
        <x:f>MIN(100,ROUND(LOG10(D153+1)*18,0))</x:f>
        <x:v>80</x:v>
      </x:c>
      <x:c r="R153" s="30" t="n">
        <x:f>MIN(100,ROUND(E153*12,0))</x:f>
        <x:v>24</x:v>
      </x:c>
      <x:c r="S153" s="30" t="n">
        <x:f>IF(H153="No",0,ROUND(P153*0.45+Q153*0.30+R153*0.15+IF(M153="Easy",10,IF(M153="Medium",6,2))+IF(N153="High",5,IF(N153="Medium",3,0)),1))</x:f>
        <x:v>73</x:v>
      </x:c>
      <x:c r="T153" s="14" t="str">
        <x:f>IF(H153="No","Exclude",IF(S153&gt;=70,"Priority 1",IF(S153&gt;=55,"Priority 2",IF(S153&gt;=40,"Priority 3","Low priority"))))</x:f>
        <x:v>Priority 1</x:v>
      </x:c>
    </x:row>
    <x:row r="154">
      <x:c r="A154" s="14" t="n">
        <x:v>153</x:v>
      </x:c>
      <x:c r="B154" s="18" t="str">
        <x:v>calculator 4 function</x:v>
      </x:c>
      <x:c r="C154" s="18" t="str">
        <x:v>informational</x:v>
      </x:c>
      <x:c r="D154" s="26" t="n">
        <x:v>14800</x:v>
      </x:c>
      <x:c r="E154" s="28" t="n">
        <x:v>0.4</x:v>
      </x:c>
      <x:c r="F154" s="14" t="n">
        <x:v>83</x:v>
      </x:c>
      <x:c r="G154" s="14" t="n">
        <x:v>28</x:v>
      </x:c>
      <x:c r="H154" s="14" t="str">
        <x:v>Maybe</x:v>
      </x:c>
      <x:c r="I154" s="18" t="str">
        <x:v>Insufficiently specific; requires SERP validation before development</x:v>
      </x:c>
      <x:c r="J154" s="18" t="str">
        <x:v>General / Other</x:v>
      </x:c>
      <x:c r="K154" s="18" t="str">
        <x:v>4 Function calculator</x:v>
      </x:c>
      <x:c r="L154" s="18" t="n">
        <x:v>1</x:v>
      </x:c>
      <x:c r="M154" s="18" t="str">
        <x:v>Easy</x:v>
      </x:c>
      <x:c r="N154" s="18" t="str">
        <x:v>Medium</x:v>
      </x:c>
      <x:c r="O154" s="18" t="str">
        <x:v>Ads</x:v>
      </x:c>
      <x:c r="P154" s="30" t="n">
        <x:f>MAX(0,100-G154)</x:f>
        <x:v>72</x:v>
      </x:c>
      <x:c r="Q154" s="30" t="n">
        <x:f>MIN(100,ROUND(LOG10(D154+1)*18,0))</x:f>
        <x:v>75</x:v>
      </x:c>
      <x:c r="R154" s="30" t="n">
        <x:f>MIN(100,ROUND(E154*12,0))</x:f>
        <x:v>5</x:v>
      </x:c>
      <x:c r="S154" s="30" t="n">
        <x:f>IF(H154="No",0,ROUND(P154*0.45+Q154*0.30+R154*0.15+IF(M154="Easy",10,IF(M154="Medium",6,2))+IF(N154="High",5,IF(N154="Medium",3,0)),1))</x:f>
        <x:v>68.7</x:v>
      </x:c>
      <x:c r="T154" s="14" t="str">
        <x:f>IF(H154="No","Exclude",IF(S154&gt;=70,"Priority 1",IF(S154&gt;=55,"Priority 2",IF(S154&gt;=40,"Priority 3","Low priority"))))</x:f>
        <x:v>Priority 2</x:v>
      </x:c>
    </x:row>
    <x:row r="155">
      <x:c r="A155" s="14" t="n">
        <x:v>154</x:v>
      </x:c>
      <x:c r="B155" s="18" t="str">
        <x:v>calculator vehicle loan</x:v>
      </x:c>
      <x:c r="C155" s="18" t="str">
        <x:v>informational, commercial</x:v>
      </x:c>
      <x:c r="D155" s="26" t="n">
        <x:v>14800</x:v>
      </x:c>
      <x:c r="E155" s="28" t="n">
        <x:v>0.54</x:v>
      </x:c>
      <x:c r="F155" s="14" t="n">
        <x:v>34</x:v>
      </x:c>
      <x:c r="G155" s="14" t="n">
        <x:v>28</x:v>
      </x:c>
      <x:c r="H155" s="14" t="str">
        <x:v>Yes</x:v>
      </x:c>
      <x:c r="I155" s="18" t="str">
        <x:v>Clear calculation, conversion, estimation, or formula intent</x:v>
      </x:c>
      <x:c r="J155" s="18" t="str">
        <x:v>General / Other</x:v>
      </x:c>
      <x:c r="K155" s="18" t="str">
        <x:v>Vehicle Loan calculator</x:v>
      </x:c>
      <x:c r="L155" s="18" t="n">
        <x:v>1</x:v>
      </x:c>
      <x:c r="M155" s="18" t="str">
        <x:v>Medium</x:v>
      </x:c>
      <x:c r="N155" s="18" t="str">
        <x:v>Medium</x:v>
      </x:c>
      <x:c r="O155" s="18" t="str">
        <x:v>Ads</x:v>
      </x:c>
      <x:c r="P155" s="30" t="n">
        <x:f>MAX(0,100-G155)</x:f>
        <x:v>72</x:v>
      </x:c>
      <x:c r="Q155" s="30" t="n">
        <x:f>MIN(100,ROUND(LOG10(D155+1)*18,0))</x:f>
        <x:v>75</x:v>
      </x:c>
      <x:c r="R155" s="30" t="n">
        <x:f>MIN(100,ROUND(E155*12,0))</x:f>
        <x:v>6</x:v>
      </x:c>
      <x:c r="S155" s="30" t="n">
        <x:f>IF(H155="No",0,ROUND(P155*0.45+Q155*0.30+R155*0.15+IF(M155="Easy",10,IF(M155="Medium",6,2))+IF(N155="High",5,IF(N155="Medium",3,0)),1))</x:f>
        <x:v>64.8</x:v>
      </x:c>
      <x:c r="T155" s="14" t="str">
        <x:f>IF(H155="No","Exclude",IF(S155&gt;=70,"Priority 1",IF(S155&gt;=55,"Priority 2",IF(S155&gt;=40,"Priority 3","Low priority"))))</x:f>
        <x:v>Priority 2</x:v>
      </x:c>
    </x:row>
    <x:row r="156">
      <x:c r="A156" s="14" t="n">
        <x:v>155</x:v>
      </x:c>
      <x:c r="B156" s="18" t="str">
        <x:v>calculator image</x:v>
      </x:c>
      <x:c r="C156" s="18" t="str">
        <x:v>informational</x:v>
      </x:c>
      <x:c r="D156" s="26" t="n">
        <x:v>1900</x:v>
      </x:c>
      <x:c r="E156" s="28" t="n">
        <x:v>0.26</x:v>
      </x:c>
      <x:c r="F156" s="14" t="n">
        <x:v>2</x:v>
      </x:c>
      <x:c r="G156" s="14" t="n">
        <x:v>28</x:v>
      </x:c>
      <x:c r="H156" s="14" t="str">
        <x:v>Yes</x:v>
      </x:c>
      <x:c r="I156" s="18" t="str">
        <x:v>Clear calculation, conversion, estimation, or formula intent</x:v>
      </x:c>
      <x:c r="J156" s="18" t="str">
        <x:v>Date &amp; Time</x:v>
      </x:c>
      <x:c r="K156" s="18" t="str">
        <x:v>Image calculator</x:v>
      </x:c>
      <x:c r="L156" s="18" t="n">
        <x:v>1</x:v>
      </x:c>
      <x:c r="M156" s="18" t="str">
        <x:v>Easy</x:v>
      </x:c>
      <x:c r="N156" s="18" t="str">
        <x:v>Medium</x:v>
      </x:c>
      <x:c r="O156" s="18" t="str">
        <x:v>Ads</x:v>
      </x:c>
      <x:c r="P156" s="30" t="n">
        <x:f>MAX(0,100-G156)</x:f>
        <x:v>72</x:v>
      </x:c>
      <x:c r="Q156" s="30" t="n">
        <x:f>MIN(100,ROUND(LOG10(D156+1)*18,0))</x:f>
        <x:v>59</x:v>
      </x:c>
      <x:c r="R156" s="30" t="n">
        <x:f>MIN(100,ROUND(E156*12,0))</x:f>
        <x:v>3</x:v>
      </x:c>
      <x:c r="S156" s="30" t="n">
        <x:f>IF(H156="No",0,ROUND(P156*0.45+Q156*0.30+R156*0.15+IF(M156="Easy",10,IF(M156="Medium",6,2))+IF(N156="High",5,IF(N156="Medium",3,0)),1))</x:f>
        <x:v>63.6</x:v>
      </x:c>
      <x:c r="T156" s="14" t="str">
        <x:f>IF(H156="No","Exclude",IF(S156&gt;=70,"Priority 1",IF(S156&gt;=55,"Priority 2",IF(S156&gt;=40,"Priority 3","Low priority"))))</x:f>
        <x:v>Priority 2</x:v>
      </x:c>
    </x:row>
    <x:row r="157">
      <x:c r="A157" s="14" t="n">
        <x:v>156</x:v>
      </x:c>
      <x:c r="B157" s="18" t="str">
        <x:v>calculator phone case</x:v>
      </x:c>
      <x:c r="C157" s="18" t="str">
        <x:v>transactional</x:v>
      </x:c>
      <x:c r="D157" s="26" t="n">
        <x:v>1900</x:v>
      </x:c>
      <x:c r="E157" s="28" t="n">
        <x:v>0.21</x:v>
      </x:c>
      <x:c r="F157" s="14" t="n">
        <x:v>55</x:v>
      </x:c>
      <x:c r="G157" s="14" t="n">
        <x:v>28</x:v>
      </x:c>
      <x:c r="H157" s="14" t="str">
        <x:v>No</x:v>
      </x:c>
      <x:c r="I157" s="18" t="str">
        <x:v>App/product/brand/navigation/media intent rather than a calculation</x:v>
      </x:c>
      <x:c r="J157" s="18" t="str">
        <x:v>Excluded / Non-calculator</x:v>
      </x:c>
      <x:c r="K157" s="18" t="str"/>
      <x:c r="L157" s="18" t="n">
        <x:v>0</x:v>
      </x:c>
      <x:c r="M157" s="18" t="str"/>
      <x:c r="N157" s="18" t="str"/>
      <x:c r="O157" s="18" t="str"/>
      <x:c r="P157" s="30" t="n">
        <x:f>MAX(0,100-G157)</x:f>
        <x:v>72</x:v>
      </x:c>
      <x:c r="Q157" s="30" t="n">
        <x:f>MIN(100,ROUND(LOG10(D157+1)*18,0))</x:f>
        <x:v>59</x:v>
      </x:c>
      <x:c r="R157" s="30" t="n">
        <x:f>MIN(100,ROUND(E157*12,0))</x:f>
        <x:v>3</x:v>
      </x:c>
      <x:c r="S157" s="30" t="n">
        <x:f>IF(H157="No",0,ROUND(P157*0.45+Q157*0.30+R157*0.15+IF(M157="Easy",10,IF(M157="Medium",6,2))+IF(N157="High",5,IF(N157="Medium",3,0)),1))</x:f>
        <x:v>0</x:v>
      </x:c>
      <x:c r="T157" s="14" t="str">
        <x:f>IF(H157="No","Exclude",IF(S157&gt;=70,"Priority 1",IF(S157&gt;=55,"Priority 2",IF(S157&gt;=40,"Priority 3","Low priority"))))</x:f>
        <x:v>Exclude</x:v>
      </x:c>
    </x:row>
    <x:row r="158">
      <x:c r="A158" s="14" t="n">
        <x:v>157</x:v>
      </x:c>
      <x:c r="B158" s="18" t="str">
        <x:v>calculator picture</x:v>
      </x:c>
      <x:c r="C158" s="18" t="str">
        <x:v>informational</x:v>
      </x:c>
      <x:c r="D158" s="26" t="n">
        <x:v>1600</x:v>
      </x:c>
      <x:c r="E158" s="28" t="n">
        <x:v>1.5</x:v>
      </x:c>
      <x:c r="F158" s="14" t="n">
        <x:v>6</x:v>
      </x:c>
      <x:c r="G158" s="14" t="n">
        <x:v>28</x:v>
      </x:c>
      <x:c r="H158" s="14" t="str">
        <x:v>Maybe</x:v>
      </x:c>
      <x:c r="I158" s="18" t="str">
        <x:v>Insufficiently specific; requires SERP validation before development</x:v>
      </x:c>
      <x:c r="J158" s="18" t="str">
        <x:v>General / Other</x:v>
      </x:c>
      <x:c r="K158" s="18" t="str">
        <x:v>Picture calculator</x:v>
      </x:c>
      <x:c r="L158" s="18" t="n">
        <x:v>1</x:v>
      </x:c>
      <x:c r="M158" s="18" t="str">
        <x:v>Easy</x:v>
      </x:c>
      <x:c r="N158" s="18" t="str">
        <x:v>Medium</x:v>
      </x:c>
      <x:c r="O158" s="18" t="str">
        <x:v>Ads</x:v>
      </x:c>
      <x:c r="P158" s="30" t="n">
        <x:f>MAX(0,100-G158)</x:f>
        <x:v>72</x:v>
      </x:c>
      <x:c r="Q158" s="30" t="n">
        <x:f>MIN(100,ROUND(LOG10(D158+1)*18,0))</x:f>
        <x:v>58</x:v>
      </x:c>
      <x:c r="R158" s="30" t="n">
        <x:f>MIN(100,ROUND(E158*12,0))</x:f>
        <x:v>18</x:v>
      </x:c>
      <x:c r="S158" s="30" t="n">
        <x:f>IF(H158="No",0,ROUND(P158*0.45+Q158*0.30+R158*0.15+IF(M158="Easy",10,IF(M158="Medium",6,2))+IF(N158="High",5,IF(N158="Medium",3,0)),1))</x:f>
        <x:v>65.5</x:v>
      </x:c>
      <x:c r="T158" s="14" t="str">
        <x:f>IF(H158="No","Exclude",IF(S158&gt;=70,"Priority 1",IF(S158&gt;=55,"Priority 2",IF(S158&gt;=40,"Priority 3","Low priority"))))</x:f>
        <x:v>Priority 2</x:v>
      </x:c>
    </x:row>
    <x:row r="159">
      <x:c r="A159" s="14" t="n">
        <x:v>158</x:v>
      </x:c>
      <x:c r="B159" s="18" t="str">
        <x:v>calculator meme</x:v>
      </x:c>
      <x:c r="C159" s="18" t="str">
        <x:v>informational</x:v>
      </x:c>
      <x:c r="D159" s="26" t="n">
        <x:v>880</x:v>
      </x:c>
      <x:c r="E159" s="28" t="n">
        <x:v>0</x:v>
      </x:c>
      <x:c r="F159" s="14" t="n">
        <x:v>1</x:v>
      </x:c>
      <x:c r="G159" s="14" t="n">
        <x:v>28</x:v>
      </x:c>
      <x:c r="H159" s="14" t="str">
        <x:v>No</x:v>
      </x:c>
      <x:c r="I159" s="18" t="str">
        <x:v>App/product/brand/navigation/media intent rather than a calculation</x:v>
      </x:c>
      <x:c r="J159" s="18" t="str">
        <x:v>Excluded / Non-calculator</x:v>
      </x:c>
      <x:c r="K159" s="18" t="str"/>
      <x:c r="L159" s="18" t="n">
        <x:v>0</x:v>
      </x:c>
      <x:c r="M159" s="18" t="str"/>
      <x:c r="N159" s="18" t="str"/>
      <x:c r="O159" s="18" t="str"/>
      <x:c r="P159" s="30" t="n">
        <x:f>MAX(0,100-G159)</x:f>
        <x:v>72</x:v>
      </x:c>
      <x:c r="Q159" s="30" t="n">
        <x:f>MIN(100,ROUND(LOG10(D159+1)*18,0))</x:f>
        <x:v>53</x:v>
      </x:c>
      <x:c r="R159" s="30" t="n">
        <x:f>MIN(100,ROUND(E159*12,0))</x:f>
        <x:v>0</x:v>
      </x:c>
      <x:c r="S159" s="30" t="n">
        <x:f>IF(H159="No",0,ROUND(P159*0.45+Q159*0.30+R159*0.15+IF(M159="Easy",10,IF(M159="Medium",6,2))+IF(N159="High",5,IF(N159="Medium",3,0)),1))</x:f>
        <x:v>0</x:v>
      </x:c>
      <x:c r="T159" s="14" t="str">
        <x:f>IF(H159="No","Exclude",IF(S159&gt;=70,"Priority 1",IF(S159&gt;=55,"Priority 2",IF(S159&gt;=40,"Priority 3","Low priority"))))</x:f>
        <x:v>Exclude</x:v>
      </x:c>
    </x:row>
    <x:row r="160">
      <x:c r="A160" s="14" t="n">
        <x:v>159</x:v>
      </x:c>
      <x:c r="B160" s="18" t="str">
        <x:v>calculator expensive</x:v>
      </x:c>
      <x:c r="C160" s="18" t="str">
        <x:v>informational</x:v>
      </x:c>
      <x:c r="D160" s="26" t="n">
        <x:v>720</x:v>
      </x:c>
      <x:c r="E160" s="28" t="n">
        <x:v>0.24</x:v>
      </x:c>
      <x:c r="F160" s="14" t="n">
        <x:v>56</x:v>
      </x:c>
      <x:c r="G160" s="14" t="n">
        <x:v>28</x:v>
      </x:c>
      <x:c r="H160" s="14" t="str">
        <x:v>Maybe</x:v>
      </x:c>
      <x:c r="I160" s="18" t="str">
        <x:v>Potential calculator intent, but keyword meaning is broad or ambiguous</x:v>
      </x:c>
      <x:c r="J160" s="18" t="str">
        <x:v>General / Other</x:v>
      </x:c>
      <x:c r="K160" s="18" t="str">
        <x:v>Expensive calculator</x:v>
      </x:c>
      <x:c r="L160" s="18" t="n">
        <x:v>1</x:v>
      </x:c>
      <x:c r="M160" s="18" t="str">
        <x:v>Easy</x:v>
      </x:c>
      <x:c r="N160" s="18" t="str">
        <x:v>Medium</x:v>
      </x:c>
      <x:c r="O160" s="18" t="str">
        <x:v>Ads</x:v>
      </x:c>
      <x:c r="P160" s="30" t="n">
        <x:f>MAX(0,100-G160)</x:f>
        <x:v>72</x:v>
      </x:c>
      <x:c r="Q160" s="30" t="n">
        <x:f>MIN(100,ROUND(LOG10(D160+1)*18,0))</x:f>
        <x:v>51</x:v>
      </x:c>
      <x:c r="R160" s="30" t="n">
        <x:f>MIN(100,ROUND(E160*12,0))</x:f>
        <x:v>3</x:v>
      </x:c>
      <x:c r="S160" s="30" t="n">
        <x:f>IF(H160="No",0,ROUND(P160*0.45+Q160*0.30+R160*0.15+IF(M160="Easy",10,IF(M160="Medium",6,2))+IF(N160="High",5,IF(N160="Medium",3,0)),1))</x:f>
        <x:v>61.2</x:v>
      </x:c>
      <x:c r="T160" s="14" t="str">
        <x:f>IF(H160="No","Exclude",IF(S160&gt;=70,"Priority 1",IF(S160&gt;=55,"Priority 2",IF(S160&gt;=40,"Priority 3","Low priority"))))</x:f>
        <x:v>Priority 2</x:v>
      </x:c>
    </x:row>
    <x:row r="161">
      <x:c r="A161" s="14" t="n">
        <x:v>160</x:v>
      </x:c>
      <x:c r="B161" s="18" t="str">
        <x:v>calculator yugioh</x:v>
      </x:c>
      <x:c r="C161" s="18" t="str">
        <x:v>informational</x:v>
      </x:c>
      <x:c r="D161" s="26" t="n">
        <x:v>720</x:v>
      </x:c>
      <x:c r="E161" s="28" t="n">
        <x:v>3.79</x:v>
      </x:c>
      <x:c r="F161" s="14" t="n">
        <x:v>1</x:v>
      </x:c>
      <x:c r="G161" s="14" t="n">
        <x:v>28</x:v>
      </x:c>
      <x:c r="H161" s="14" t="str">
        <x:v>Maybe</x:v>
      </x:c>
      <x:c r="I161" s="18" t="str">
        <x:v>Insufficiently specific; requires SERP validation before development</x:v>
      </x:c>
      <x:c r="J161" s="18" t="str">
        <x:v>General / Other</x:v>
      </x:c>
      <x:c r="K161" s="18" t="str">
        <x:v>Yugioh calculator</x:v>
      </x:c>
      <x:c r="L161" s="18" t="n">
        <x:v>1</x:v>
      </x:c>
      <x:c r="M161" s="18" t="str">
        <x:v>Easy</x:v>
      </x:c>
      <x:c r="N161" s="18" t="str">
        <x:v>Medium</x:v>
      </x:c>
      <x:c r="O161" s="18" t="str">
        <x:v>Ads</x:v>
      </x:c>
      <x:c r="P161" s="30" t="n">
        <x:f>MAX(0,100-G161)</x:f>
        <x:v>72</x:v>
      </x:c>
      <x:c r="Q161" s="30" t="n">
        <x:f>MIN(100,ROUND(LOG10(D161+1)*18,0))</x:f>
        <x:v>51</x:v>
      </x:c>
      <x:c r="R161" s="30" t="n">
        <x:f>MIN(100,ROUND(E161*12,0))</x:f>
        <x:v>45</x:v>
      </x:c>
      <x:c r="S161" s="30" t="n">
        <x:f>IF(H161="No",0,ROUND(P161*0.45+Q161*0.30+R161*0.15+IF(M161="Easy",10,IF(M161="Medium",6,2))+IF(N161="High",5,IF(N161="Medium",3,0)),1))</x:f>
        <x:v>67.4</x:v>
      </x:c>
      <x:c r="T161" s="14" t="str">
        <x:f>IF(H161="No","Exclude",IF(S161&gt;=70,"Priority 1",IF(S161&gt;=55,"Priority 2",IF(S161&gt;=40,"Priority 3","Low priority"))))</x:f>
        <x:v>Priority 2</x:v>
      </x:c>
    </x:row>
    <x:row r="162">
      <x:c r="A162" s="14" t="n">
        <x:v>161</x:v>
      </x:c>
      <x:c r="B162" s="18" t="str">
        <x:v>calculator background</x:v>
      </x:c>
      <x:c r="C162" s="18" t="str">
        <x:v>informational, transactional</x:v>
      </x:c>
      <x:c r="D162" s="26" t="n">
        <x:v>170</x:v>
      </x:c>
      <x:c r="E162" s="28" t="n">
        <x:v>0</x:v>
      </x:c>
      <x:c r="F162" s="14" t="n">
        <x:v>1</x:v>
      </x:c>
      <x:c r="G162" s="14" t="n">
        <x:v>28</x:v>
      </x:c>
      <x:c r="H162" s="14" t="str">
        <x:v>Maybe</x:v>
      </x:c>
      <x:c r="I162" s="18" t="str">
        <x:v>Insufficiently specific; requires SERP validation before development</x:v>
      </x:c>
      <x:c r="J162" s="18" t="str">
        <x:v>General / Other</x:v>
      </x:c>
      <x:c r="K162" s="18" t="str">
        <x:v>Background calculator</x:v>
      </x:c>
      <x:c r="L162" s="18" t="n">
        <x:v>1</x:v>
      </x:c>
      <x:c r="M162" s="18" t="str">
        <x:v>Easy</x:v>
      </x:c>
      <x:c r="N162" s="18" t="str">
        <x:v>Medium</x:v>
      </x:c>
      <x:c r="O162" s="18" t="str">
        <x:v>Ads</x:v>
      </x:c>
      <x:c r="P162" s="30" t="n">
        <x:f>MAX(0,100-G162)</x:f>
        <x:v>72</x:v>
      </x:c>
      <x:c r="Q162" s="30" t="n">
        <x:f>MIN(100,ROUND(LOG10(D162+1)*18,0))</x:f>
        <x:v>40</x:v>
      </x:c>
      <x:c r="R162" s="30" t="n">
        <x:f>MIN(100,ROUND(E162*12,0))</x:f>
        <x:v>0</x:v>
      </x:c>
      <x:c r="S162" s="30" t="n">
        <x:f>IF(H162="No",0,ROUND(P162*0.45+Q162*0.30+R162*0.15+IF(M162="Easy",10,IF(M162="Medium",6,2))+IF(N162="High",5,IF(N162="Medium",3,0)),1))</x:f>
        <x:v>57.4</x:v>
      </x:c>
      <x:c r="T162" s="14" t="str">
        <x:f>IF(H162="No","Exclude",IF(S162&gt;=70,"Priority 1",IF(S162&gt;=55,"Priority 2",IF(S162&gt;=40,"Priority 3","Low priority"))))</x:f>
        <x:v>Priority 2</x:v>
      </x:c>
    </x:row>
    <x:row r="163">
      <x:c r="A163" s="14" t="n">
        <x:v>162</x:v>
      </x:c>
      <x:c r="B163" s="18" t="str">
        <x:v>calculator 58008</x:v>
      </x:c>
      <x:c r="C163" s="18" t="str">
        <x:v>informational, transactional</x:v>
      </x:c>
      <x:c r="D163" s="26" t="n">
        <x:v>90</x:v>
      </x:c>
      <x:c r="E163" s="28" t="n">
        <x:v>0</x:v>
      </x:c>
      <x:c r="F163" s="14" t="n">
        <x:v>1</x:v>
      </x:c>
      <x:c r="G163" s="14" t="n">
        <x:v>28</x:v>
      </x:c>
      <x:c r="H163" s="14" t="str">
        <x:v>No</x:v>
      </x:c>
      <x:c r="I163" s="18" t="str">
        <x:v>Model/number query, not a distinct web calculator</x:v>
      </x:c>
      <x:c r="J163" s="18" t="str">
        <x:v>Excluded / Non-calculator</x:v>
      </x:c>
      <x:c r="K163" s="18" t="str"/>
      <x:c r="L163" s="18" t="n">
        <x:v>0</x:v>
      </x:c>
      <x:c r="M163" s="18" t="str"/>
      <x:c r="N163" s="18" t="str"/>
      <x:c r="O163" s="18" t="str"/>
      <x:c r="P163" s="30" t="n">
        <x:f>MAX(0,100-G163)</x:f>
        <x:v>72</x:v>
      </x:c>
      <x:c r="Q163" s="30" t="n">
        <x:f>MIN(100,ROUND(LOG10(D163+1)*18,0))</x:f>
        <x:v>35</x:v>
      </x:c>
      <x:c r="R163" s="30" t="n">
        <x:f>MIN(100,ROUND(E163*12,0))</x:f>
        <x:v>0</x:v>
      </x:c>
      <x:c r="S163" s="30" t="n">
        <x:f>IF(H163="No",0,ROUND(P163*0.45+Q163*0.30+R163*0.15+IF(M163="Easy",10,IF(M163="Medium",6,2))+IF(N163="High",5,IF(N163="Medium",3,0)),1))</x:f>
        <x:v>0</x:v>
      </x:c>
      <x:c r="T163" s="14" t="str">
        <x:f>IF(H163="No","Exclude",IF(S163&gt;=70,"Priority 1",IF(S163&gt;=55,"Priority 2",IF(S163&gt;=40,"Priority 3","Low priority"))))</x:f>
        <x:v>Exclude</x:v>
      </x:c>
    </x:row>
    <x:row r="164">
      <x:c r="A164" s="14" t="n">
        <x:v>163</x:v>
      </x:c>
      <x:c r="B164" s="18" t="str">
        <x:v>calculator keypad</x:v>
      </x:c>
      <x:c r="C164" s="18" t="str">
        <x:v>transactional</x:v>
      </x:c>
      <x:c r="D164" s="26" t="n">
        <x:v>90</x:v>
      </x:c>
      <x:c r="E164" s="28" t="n">
        <x:v>0.45</x:v>
      </x:c>
      <x:c r="F164" s="14" t="n">
        <x:v>88</x:v>
      </x:c>
      <x:c r="G164" s="14" t="n">
        <x:v>28</x:v>
      </x:c>
      <x:c r="H164" s="14" t="str">
        <x:v>Maybe</x:v>
      </x:c>
      <x:c r="I164" s="18" t="str">
        <x:v>Insufficiently specific; requires SERP validation before development</x:v>
      </x:c>
      <x:c r="J164" s="18" t="str">
        <x:v>General / Other</x:v>
      </x:c>
      <x:c r="K164" s="18" t="str">
        <x:v>Keypad calculator</x:v>
      </x:c>
      <x:c r="L164" s="18" t="n">
        <x:v>1</x:v>
      </x:c>
      <x:c r="M164" s="18" t="str">
        <x:v>Easy</x:v>
      </x:c>
      <x:c r="N164" s="18" t="str">
        <x:v>Medium</x:v>
      </x:c>
      <x:c r="O164" s="18" t="str">
        <x:v>Ads</x:v>
      </x:c>
      <x:c r="P164" s="30" t="n">
        <x:f>MAX(0,100-G164)</x:f>
        <x:v>72</x:v>
      </x:c>
      <x:c r="Q164" s="30" t="n">
        <x:f>MIN(100,ROUND(LOG10(D164+1)*18,0))</x:f>
        <x:v>35</x:v>
      </x:c>
      <x:c r="R164" s="30" t="n">
        <x:f>MIN(100,ROUND(E164*12,0))</x:f>
        <x:v>5</x:v>
      </x:c>
      <x:c r="S164" s="30" t="n">
        <x:f>IF(H164="No",0,ROUND(P164*0.45+Q164*0.30+R164*0.15+IF(M164="Easy",10,IF(M164="Medium",6,2))+IF(N164="High",5,IF(N164="Medium",3,0)),1))</x:f>
        <x:v>56.7</x:v>
      </x:c>
      <x:c r="T164" s="14" t="str">
        <x:f>IF(H164="No","Exclude",IF(S164&gt;=70,"Priority 1",IF(S164&gt;=55,"Priority 2",IF(S164&gt;=40,"Priority 3","Low priority"))))</x:f>
        <x:v>Priority 2</x:v>
      </x:c>
    </x:row>
    <x:row r="165">
      <x:c r="A165" s="14" t="n">
        <x:v>164</x:v>
      </x:c>
      <x:c r="B165" s="18" t="str">
        <x:v>calculator with camera and ai</x:v>
      </x:c>
      <x:c r="C165" s="18" t="str">
        <x:v>transactional, informational</x:v>
      </x:c>
      <x:c r="D165" s="26" t="n">
        <x:v>90</x:v>
      </x:c>
      <x:c r="E165" s="28" t="n">
        <x:v>0.26</x:v>
      </x:c>
      <x:c r="F165" s="14" t="n">
        <x:v>43</x:v>
      </x:c>
      <x:c r="G165" s="14" t="n">
        <x:v>28</x:v>
      </x:c>
      <x:c r="H165" s="14" t="str">
        <x:v>Maybe</x:v>
      </x:c>
      <x:c r="I165" s="18" t="str">
        <x:v>Insufficiently specific; requires SERP validation before development</x:v>
      </x:c>
      <x:c r="J165" s="18" t="str">
        <x:v>General / Other</x:v>
      </x:c>
      <x:c r="K165" s="18" t="str">
        <x:v>With Camera And Ai calculator</x:v>
      </x:c>
      <x:c r="L165" s="18" t="n">
        <x:v>1</x:v>
      </x:c>
      <x:c r="M165" s="18" t="str">
        <x:v>Easy</x:v>
      </x:c>
      <x:c r="N165" s="18" t="str">
        <x:v>Medium</x:v>
      </x:c>
      <x:c r="O165" s="18" t="str">
        <x:v>Ads</x:v>
      </x:c>
      <x:c r="P165" s="30" t="n">
        <x:f>MAX(0,100-G165)</x:f>
        <x:v>72</x:v>
      </x:c>
      <x:c r="Q165" s="30" t="n">
        <x:f>MIN(100,ROUND(LOG10(D165+1)*18,0))</x:f>
        <x:v>35</x:v>
      </x:c>
      <x:c r="R165" s="30" t="n">
        <x:f>MIN(100,ROUND(E165*12,0))</x:f>
        <x:v>3</x:v>
      </x:c>
      <x:c r="S165" s="30" t="n">
        <x:f>IF(H165="No",0,ROUND(P165*0.45+Q165*0.30+R165*0.15+IF(M165="Easy",10,IF(M165="Medium",6,2))+IF(N165="High",5,IF(N165="Medium",3,0)),1))</x:f>
        <x:v>56.4</x:v>
      </x:c>
      <x:c r="T165" s="14" t="str">
        <x:f>IF(H165="No","Exclude",IF(S165&gt;=70,"Priority 1",IF(S165&gt;=55,"Priority 2",IF(S165&gt;=40,"Priority 3","Low priority"))))</x:f>
        <x:v>Priority 2</x:v>
      </x:c>
    </x:row>
    <x:row r="166">
      <x:c r="A166" s="14" t="n">
        <x:v>165</x:v>
      </x:c>
      <x:c r="B166" s="18" t="str">
        <x:v>calculator shortcut on keyboard</x:v>
      </x:c>
      <x:c r="C166" s="18" t="str">
        <x:v>informational</x:v>
      </x:c>
      <x:c r="D166" s="26" t="n">
        <x:v>70</x:v>
      </x:c>
      <x:c r="E166" s="28" t="n">
        <x:v>0</x:v>
      </x:c>
      <x:c r="F166" s="14" t="n">
        <x:v>1</x:v>
      </x:c>
      <x:c r="G166" s="14" t="n">
        <x:v>28</x:v>
      </x:c>
      <x:c r="H166" s="14" t="str">
        <x:v>No</x:v>
      </x:c>
      <x:c r="I166" s="18" t="str">
        <x:v>App/product/brand/navigation/media intent rather than a calculation</x:v>
      </x:c>
      <x:c r="J166" s="18" t="str">
        <x:v>Excluded / Non-calculator</x:v>
      </x:c>
      <x:c r="K166" s="18" t="str"/>
      <x:c r="L166" s="18" t="n">
        <x:v>0</x:v>
      </x:c>
      <x:c r="M166" s="18" t="str"/>
      <x:c r="N166" s="18" t="str"/>
      <x:c r="O166" s="18" t="str"/>
      <x:c r="P166" s="30" t="n">
        <x:f>MAX(0,100-G166)</x:f>
        <x:v>72</x:v>
      </x:c>
      <x:c r="Q166" s="30" t="n">
        <x:f>MIN(100,ROUND(LOG10(D166+1)*18,0))</x:f>
        <x:v>33</x:v>
      </x:c>
      <x:c r="R166" s="30" t="n">
        <x:f>MIN(100,ROUND(E166*12,0))</x:f>
        <x:v>0</x:v>
      </x:c>
      <x:c r="S166" s="30" t="n">
        <x:f>IF(H166="No",0,ROUND(P166*0.45+Q166*0.30+R166*0.15+IF(M166="Easy",10,IF(M166="Medium",6,2))+IF(N166="High",5,IF(N166="Medium",3,0)),1))</x:f>
        <x:v>0</x:v>
      </x:c>
      <x:c r="T166" s="14" t="str">
        <x:f>IF(H166="No","Exclude",IF(S166&gt;=70,"Priority 1",IF(S166&gt;=55,"Priority 2",IF(S166&gt;=40,"Priority 3","Low priority"))))</x:f>
        <x:v>Exclude</x:v>
      </x:c>
    </x:row>
    <x:row r="167">
      <x:c r="A167" s="14" t="n">
        <x:v>166</x:v>
      </x:c>
      <x:c r="B167" s="18" t="str">
        <x:v>calculator jellycat</x:v>
      </x:c>
      <x:c r="C167" s="18" t="str">
        <x:v>informational, transactional</x:v>
      </x:c>
      <x:c r="D167" s="26" t="n">
        <x:v>40</x:v>
      </x:c>
      <x:c r="E167" s="28" t="n">
        <x:v>0</x:v>
      </x:c>
      <x:c r="F167" s="14" t="n">
        <x:v>1</x:v>
      </x:c>
      <x:c r="G167" s="14" t="n">
        <x:v>28</x:v>
      </x:c>
      <x:c r="H167" s="14" t="str">
        <x:v>Maybe</x:v>
      </x:c>
      <x:c r="I167" s="18" t="str">
        <x:v>Insufficiently specific; requires SERP validation before development</x:v>
      </x:c>
      <x:c r="J167" s="18" t="str">
        <x:v>General / Other</x:v>
      </x:c>
      <x:c r="K167" s="18" t="str">
        <x:v>Jellycat calculator</x:v>
      </x:c>
      <x:c r="L167" s="18" t="n">
        <x:v>1</x:v>
      </x:c>
      <x:c r="M167" s="18" t="str">
        <x:v>Easy</x:v>
      </x:c>
      <x:c r="N167" s="18" t="str">
        <x:v>Medium</x:v>
      </x:c>
      <x:c r="O167" s="18" t="str">
        <x:v>Ads</x:v>
      </x:c>
      <x:c r="P167" s="30" t="n">
        <x:f>MAX(0,100-G167)</x:f>
        <x:v>72</x:v>
      </x:c>
      <x:c r="Q167" s="30" t="n">
        <x:f>MIN(100,ROUND(LOG10(D167+1)*18,0))</x:f>
        <x:v>29</x:v>
      </x:c>
      <x:c r="R167" s="30" t="n">
        <x:f>MIN(100,ROUND(E167*12,0))</x:f>
        <x:v>0</x:v>
      </x:c>
      <x:c r="S167" s="30" t="n">
        <x:f>IF(H167="No",0,ROUND(P167*0.45+Q167*0.30+R167*0.15+IF(M167="Easy",10,IF(M167="Medium",6,2))+IF(N167="High",5,IF(N167="Medium",3,0)),1))</x:f>
        <x:v>54.1</x:v>
      </x:c>
      <x:c r="T167" s="14" t="str">
        <x:f>IF(H167="No","Exclude",IF(S167&gt;=70,"Priority 1",IF(S167&gt;=55,"Priority 2",IF(S167&gt;=40,"Priority 3","Low priority"))))</x:f>
        <x:v>Priority 3</x:v>
      </x:c>
    </x:row>
    <x:row r="168">
      <x:c r="A168" s="14" t="n">
        <x:v>167</x:v>
      </x:c>
      <x:c r="B168" s="18" t="str">
        <x:v>calculator with chatgpt</x:v>
      </x:c>
      <x:c r="C168" s="18" t="str">
        <x:v>informational</x:v>
      </x:c>
      <x:c r="D168" s="26" t="n">
        <x:v>480</x:v>
      </x:c>
      <x:c r="E168" s="28" t="n">
        <x:v>0.37</x:v>
      </x:c>
      <x:c r="F168" s="14" t="n">
        <x:v>15</x:v>
      </x:c>
      <x:c r="G168" s="14" t="n">
        <x:v>29</x:v>
      </x:c>
      <x:c r="H168" s="14" t="str">
        <x:v>Maybe</x:v>
      </x:c>
      <x:c r="I168" s="18" t="str">
        <x:v>Insufficiently specific; requires SERP validation before development</x:v>
      </x:c>
      <x:c r="J168" s="18" t="str">
        <x:v>General / Other</x:v>
      </x:c>
      <x:c r="K168" s="18" t="str">
        <x:v>With Chatgpt calculator</x:v>
      </x:c>
      <x:c r="L168" s="18" t="n">
        <x:v>1</x:v>
      </x:c>
      <x:c r="M168" s="18" t="str">
        <x:v>Easy</x:v>
      </x:c>
      <x:c r="N168" s="18" t="str">
        <x:v>Medium</x:v>
      </x:c>
      <x:c r="O168" s="18" t="str">
        <x:v>Ads</x:v>
      </x:c>
      <x:c r="P168" s="30" t="n">
        <x:f>MAX(0,100-G168)</x:f>
        <x:v>71</x:v>
      </x:c>
      <x:c r="Q168" s="30" t="n">
        <x:f>MIN(100,ROUND(LOG10(D168+1)*18,0))</x:f>
        <x:v>48</x:v>
      </x:c>
      <x:c r="R168" s="30" t="n">
        <x:f>MIN(100,ROUND(E168*12,0))</x:f>
        <x:v>4</x:v>
      </x:c>
      <x:c r="S168" s="30" t="n">
        <x:f>IF(H168="No",0,ROUND(P168*0.45+Q168*0.30+R168*0.15+IF(M168="Easy",10,IF(M168="Medium",6,2))+IF(N168="High",5,IF(N168="Medium",3,0)),1))</x:f>
        <x:v>60</x:v>
      </x:c>
      <x:c r="T168" s="14" t="str">
        <x:f>IF(H168="No","Exclude",IF(S168&gt;=70,"Priority 1",IF(S168&gt;=55,"Priority 2",IF(S168&gt;=40,"Priority 3","Low priority"))))</x:f>
        <x:v>Priority 2</x:v>
      </x:c>
    </x:row>
    <x:row r="169">
      <x:c r="A169" s="14" t="n">
        <x:v>168</x:v>
      </x:c>
      <x:c r="B169" s="18" t="str">
        <x:v>calculator km to miles</x:v>
      </x:c>
      <x:c r="C169" s="18" t="str">
        <x:v>informational</x:v>
      </x:c>
      <x:c r="D169" s="26" t="n">
        <x:v>260</x:v>
      </x:c>
      <x:c r="E169" s="28" t="n">
        <x:v>1.98</x:v>
      </x:c>
      <x:c r="F169" s="14" t="n">
        <x:v>1</x:v>
      </x:c>
      <x:c r="G169" s="14" t="n">
        <x:v>29</x:v>
      </x:c>
      <x:c r="H169" s="14" t="str">
        <x:v>Maybe</x:v>
      </x:c>
      <x:c r="I169" s="18" t="str">
        <x:v>Insufficiently specific; requires SERP validation before development</x:v>
      </x:c>
      <x:c r="J169" s="18" t="str">
        <x:v>General / Other</x:v>
      </x:c>
      <x:c r="K169" s="18" t="str">
        <x:v>Km To Miles calculator</x:v>
      </x:c>
      <x:c r="L169" s="18" t="n">
        <x:v>1</x:v>
      </x:c>
      <x:c r="M169" s="18" t="str">
        <x:v>Easy</x:v>
      </x:c>
      <x:c r="N169" s="18" t="str">
        <x:v>Medium</x:v>
      </x:c>
      <x:c r="O169" s="18" t="str">
        <x:v>Ads</x:v>
      </x:c>
      <x:c r="P169" s="30" t="n">
        <x:f>MAX(0,100-G169)</x:f>
        <x:v>71</x:v>
      </x:c>
      <x:c r="Q169" s="30" t="n">
        <x:f>MIN(100,ROUND(LOG10(D169+1)*18,0))</x:f>
        <x:v>43</x:v>
      </x:c>
      <x:c r="R169" s="30" t="n">
        <x:f>MIN(100,ROUND(E169*12,0))</x:f>
        <x:v>24</x:v>
      </x:c>
      <x:c r="S169" s="30" t="n">
        <x:f>IF(H169="No",0,ROUND(P169*0.45+Q169*0.30+R169*0.15+IF(M169="Easy",10,IF(M169="Medium",6,2))+IF(N169="High",5,IF(N169="Medium",3,0)),1))</x:f>
        <x:v>61.5</x:v>
      </x:c>
      <x:c r="T169" s="14" t="str">
        <x:f>IF(H169="No","Exclude",IF(S169&gt;=70,"Priority 1",IF(S169&gt;=55,"Priority 2",IF(S169&gt;=40,"Priority 3","Low priority"))))</x:f>
        <x:v>Priority 2</x:v>
      </x:c>
    </x:row>
    <x:row r="170">
      <x:c r="A170" s="14" t="n">
        <x:v>169</x:v>
      </x:c>
      <x:c r="B170" s="18" t="str">
        <x:v>calculator 4d</x:v>
      </x:c>
      <x:c r="C170" s="18" t="str">
        <x:v>transactional</x:v>
      </x:c>
      <x:c r="D170" s="26" t="n">
        <x:v>110</x:v>
      </x:c>
      <x:c r="E170" s="28" t="n">
        <x:v>0</x:v>
      </x:c>
      <x:c r="F170" s="14" t="n">
        <x:v>1</x:v>
      </x:c>
      <x:c r="G170" s="14" t="n">
        <x:v>29</x:v>
      </x:c>
      <x:c r="H170" s="14" t="str">
        <x:v>Maybe</x:v>
      </x:c>
      <x:c r="I170" s="18" t="str">
        <x:v>Insufficiently specific; requires SERP validation before development</x:v>
      </x:c>
      <x:c r="J170" s="18" t="str">
        <x:v>General / Other</x:v>
      </x:c>
      <x:c r="K170" s="18" t="str">
        <x:v>4D calculator</x:v>
      </x:c>
      <x:c r="L170" s="18" t="n">
        <x:v>1</x:v>
      </x:c>
      <x:c r="M170" s="18" t="str">
        <x:v>Easy</x:v>
      </x:c>
      <x:c r="N170" s="18" t="str">
        <x:v>Medium</x:v>
      </x:c>
      <x:c r="O170" s="18" t="str">
        <x:v>Ads</x:v>
      </x:c>
      <x:c r="P170" s="30" t="n">
        <x:f>MAX(0,100-G170)</x:f>
        <x:v>71</x:v>
      </x:c>
      <x:c r="Q170" s="30" t="n">
        <x:f>MIN(100,ROUND(LOG10(D170+1)*18,0))</x:f>
        <x:v>37</x:v>
      </x:c>
      <x:c r="R170" s="30" t="n">
        <x:f>MIN(100,ROUND(E170*12,0))</x:f>
        <x:v>0</x:v>
      </x:c>
      <x:c r="S170" s="30" t="n">
        <x:f>IF(H170="No",0,ROUND(P170*0.45+Q170*0.30+R170*0.15+IF(M170="Easy",10,IF(M170="Medium",6,2))+IF(N170="High",5,IF(N170="Medium",3,0)),1))</x:f>
        <x:v>56.1</x:v>
      </x:c>
      <x:c r="T170" s="14" t="str">
        <x:f>IF(H170="No","Exclude",IF(S170&gt;=70,"Priority 1",IF(S170&gt;=55,"Priority 2",IF(S170&gt;=40,"Priority 3","Low priority"))))</x:f>
        <x:v>Priority 2</x:v>
      </x:c>
    </x:row>
    <x:row r="171">
      <x:c r="A171" s="14" t="n">
        <x:v>170</x:v>
      </x:c>
      <x:c r="B171" s="18" t="str">
        <x:v>calculator 85</x:v>
      </x:c>
      <x:c r="C171" s="18" t="str">
        <x:v>transactional</x:v>
      </x:c>
      <x:c r="D171" s="26" t="n">
        <x:v>110</x:v>
      </x:c>
      <x:c r="E171" s="28" t="n">
        <x:v>0</x:v>
      </x:c>
      <x:c r="F171" s="14" t="n">
        <x:v>1</x:v>
      </x:c>
      <x:c r="G171" s="14" t="n">
        <x:v>29</x:v>
      </x:c>
      <x:c r="H171" s="14" t="str">
        <x:v>No</x:v>
      </x:c>
      <x:c r="I171" s="18" t="str">
        <x:v>Model/number query, not a distinct web calculator</x:v>
      </x:c>
      <x:c r="J171" s="18" t="str">
        <x:v>Excluded / Non-calculator</x:v>
      </x:c>
      <x:c r="K171" s="18" t="str"/>
      <x:c r="L171" s="18" t="n">
        <x:v>0</x:v>
      </x:c>
      <x:c r="M171" s="18" t="str"/>
      <x:c r="N171" s="18" t="str"/>
      <x:c r="O171" s="18" t="str"/>
      <x:c r="P171" s="30" t="n">
        <x:f>MAX(0,100-G171)</x:f>
        <x:v>71</x:v>
      </x:c>
      <x:c r="Q171" s="30" t="n">
        <x:f>MIN(100,ROUND(LOG10(D171+1)*18,0))</x:f>
        <x:v>37</x:v>
      </x:c>
      <x:c r="R171" s="30" t="n">
        <x:f>MIN(100,ROUND(E171*12,0))</x:f>
        <x:v>0</x:v>
      </x:c>
      <x:c r="S171" s="30" t="n">
        <x:f>IF(H171="No",0,ROUND(P171*0.45+Q171*0.30+R171*0.15+IF(M171="Easy",10,IF(M171="Medium",6,2))+IF(N171="High",5,IF(N171="Medium",3,0)),1))</x:f>
        <x:v>0</x:v>
      </x:c>
      <x:c r="T171" s="14" t="str">
        <x:f>IF(H171="No","Exclude",IF(S171&gt;=70,"Priority 1",IF(S171&gt;=55,"Priority 2",IF(S171&gt;=40,"Priority 3","Low priority"))))</x:f>
        <x:v>Exclude</x:v>
      </x:c>
    </x:row>
    <x:row r="172">
      <x:c r="A172" s="14" t="n">
        <x:v>171</x:v>
      </x:c>
      <x:c r="B172" s="18" t="str">
        <x:v>calculator 991 fx</x:v>
      </x:c>
      <x:c r="C172" s="18" t="str">
        <x:v>transactional</x:v>
      </x:c>
      <x:c r="D172" s="26" t="n">
        <x:v>110</x:v>
      </x:c>
      <x:c r="E172" s="28" t="n">
        <x:v>0.11</x:v>
      </x:c>
      <x:c r="F172" s="14" t="n">
        <x:v>100</x:v>
      </x:c>
      <x:c r="G172" s="14" t="n">
        <x:v>29</x:v>
      </x:c>
      <x:c r="H172" s="14" t="str">
        <x:v>No</x:v>
      </x:c>
      <x:c r="I172" s="18" t="str">
        <x:v>App/product/brand/navigation/media intent rather than a calculation</x:v>
      </x:c>
      <x:c r="J172" s="18" t="str">
        <x:v>Excluded / Non-calculator</x:v>
      </x:c>
      <x:c r="K172" s="18" t="str"/>
      <x:c r="L172" s="18" t="n">
        <x:v>0</x:v>
      </x:c>
      <x:c r="M172" s="18" t="str"/>
      <x:c r="N172" s="18" t="str"/>
      <x:c r="O172" s="18" t="str"/>
      <x:c r="P172" s="30" t="n">
        <x:f>MAX(0,100-G172)</x:f>
        <x:v>71</x:v>
      </x:c>
      <x:c r="Q172" s="30" t="n">
        <x:f>MIN(100,ROUND(LOG10(D172+1)*18,0))</x:f>
        <x:v>37</x:v>
      </x:c>
      <x:c r="R172" s="30" t="n">
        <x:f>MIN(100,ROUND(E172*12,0))</x:f>
        <x:v>1</x:v>
      </x:c>
      <x:c r="S172" s="30" t="n">
        <x:f>IF(H172="No",0,ROUND(P172*0.45+Q172*0.30+R172*0.15+IF(M172="Easy",10,IF(M172="Medium",6,2))+IF(N172="High",5,IF(N172="Medium",3,0)),1))</x:f>
        <x:v>0</x:v>
      </x:c>
      <x:c r="T172" s="14" t="str">
        <x:f>IF(H172="No","Exclude",IF(S172&gt;=70,"Priority 1",IF(S172&gt;=55,"Priority 2",IF(S172&gt;=40,"Priority 3","Low priority"))))</x:f>
        <x:v>Exclude</x:v>
      </x:c>
    </x:row>
    <x:row r="173">
      <x:c r="A173" s="14" t="n">
        <x:v>172</x:v>
      </x:c>
      <x:c r="B173" s="18" t="str">
        <x:v>calculator video</x:v>
      </x:c>
      <x:c r="C173" s="18" t="str">
        <x:v>informational</x:v>
      </x:c>
      <x:c r="D173" s="26" t="n">
        <x:v>110</x:v>
      </x:c>
      <x:c r="E173" s="28" t="n">
        <x:v>0</x:v>
      </x:c>
      <x:c r="F173" s="14" t="n">
        <x:v>1</x:v>
      </x:c>
      <x:c r="G173" s="14" t="n">
        <x:v>29</x:v>
      </x:c>
      <x:c r="H173" s="14" t="str">
        <x:v>Maybe</x:v>
      </x:c>
      <x:c r="I173" s="18" t="str">
        <x:v>Insufficiently specific; requires SERP validation before development</x:v>
      </x:c>
      <x:c r="J173" s="18" t="str">
        <x:v>General / Other</x:v>
      </x:c>
      <x:c r="K173" s="18" t="str">
        <x:v>Video calculator</x:v>
      </x:c>
      <x:c r="L173" s="18" t="n">
        <x:v>1</x:v>
      </x:c>
      <x:c r="M173" s="18" t="str">
        <x:v>Easy</x:v>
      </x:c>
      <x:c r="N173" s="18" t="str">
        <x:v>Medium</x:v>
      </x:c>
      <x:c r="O173" s="18" t="str">
        <x:v>Ads</x:v>
      </x:c>
      <x:c r="P173" s="30" t="n">
        <x:f>MAX(0,100-G173)</x:f>
        <x:v>71</x:v>
      </x:c>
      <x:c r="Q173" s="30" t="n">
        <x:f>MIN(100,ROUND(LOG10(D173+1)*18,0))</x:f>
        <x:v>37</x:v>
      </x:c>
      <x:c r="R173" s="30" t="n">
        <x:f>MIN(100,ROUND(E173*12,0))</x:f>
        <x:v>0</x:v>
      </x:c>
      <x:c r="S173" s="30" t="n">
        <x:f>IF(H173="No",0,ROUND(P173*0.45+Q173*0.30+R173*0.15+IF(M173="Easy",10,IF(M173="Medium",6,2))+IF(N173="High",5,IF(N173="Medium",3,0)),1))</x:f>
        <x:v>56.1</x:v>
      </x:c>
      <x:c r="T173" s="14" t="str">
        <x:f>IF(H173="No","Exclude",IF(S173&gt;=70,"Priority 1",IF(S173&gt;=55,"Priority 2",IF(S173&gt;=40,"Priority 3","Low priority"))))</x:f>
        <x:v>Priority 2</x:v>
      </x:c>
    </x:row>
    <x:row r="174">
      <x:c r="A174" s="14" t="n">
        <x:v>173</x:v>
      </x:c>
      <x:c r="B174" s="18" t="str">
        <x:v>0x1 calculator</x:v>
      </x:c>
      <x:c r="C174" s="18" t="str">
        <x:v>informational</x:v>
      </x:c>
      <x:c r="D174" s="26" t="n">
        <x:v>90</x:v>
      </x:c>
      <x:c r="E174" s="28" t="n">
        <x:v>0</x:v>
      </x:c>
      <x:c r="F174" s="14" t="n">
        <x:v>1</x:v>
      </x:c>
      <x:c r="G174" s="14" t="n">
        <x:v>29</x:v>
      </x:c>
      <x:c r="H174" s="14" t="str">
        <x:v>Maybe</x:v>
      </x:c>
      <x:c r="I174" s="18" t="str">
        <x:v>Insufficiently specific; requires SERP validation before development</x:v>
      </x:c>
      <x:c r="J174" s="18" t="str">
        <x:v>General / Other</x:v>
      </x:c>
      <x:c r="K174" s="18" t="str">
        <x:v>0X1 calculator</x:v>
      </x:c>
      <x:c r="L174" s="18" t="n">
        <x:v>1</x:v>
      </x:c>
      <x:c r="M174" s="18" t="str">
        <x:v>Easy</x:v>
      </x:c>
      <x:c r="N174" s="18" t="str">
        <x:v>Medium</x:v>
      </x:c>
      <x:c r="O174" s="18" t="str">
        <x:v>Ads</x:v>
      </x:c>
      <x:c r="P174" s="30" t="n">
        <x:f>MAX(0,100-G174)</x:f>
        <x:v>71</x:v>
      </x:c>
      <x:c r="Q174" s="30" t="n">
        <x:f>MIN(100,ROUND(LOG10(D174+1)*18,0))</x:f>
        <x:v>35</x:v>
      </x:c>
      <x:c r="R174" s="30" t="n">
        <x:f>MIN(100,ROUND(E174*12,0))</x:f>
        <x:v>0</x:v>
      </x:c>
      <x:c r="S174" s="30" t="n">
        <x:f>IF(H174="No",0,ROUND(P174*0.45+Q174*0.30+R174*0.15+IF(M174="Easy",10,IF(M174="Medium",6,2))+IF(N174="High",5,IF(N174="Medium",3,0)),1))</x:f>
        <x:v>55.5</x:v>
      </x:c>
      <x:c r="T174" s="14" t="str">
        <x:f>IF(H174="No","Exclude",IF(S174&gt;=70,"Priority 1",IF(S174&gt;=55,"Priority 2",IF(S174&gt;=40,"Priority 3","Low priority"))))</x:f>
        <x:v>Priority 2</x:v>
      </x:c>
    </x:row>
    <x:row r="175">
      <x:c r="A175" s="14" t="n">
        <x:v>174</x:v>
      </x:c>
      <x:c r="B175" s="18" t="str">
        <x:v>calculator yen to usd</x:v>
      </x:c>
      <x:c r="C175" s="18" t="str">
        <x:v>informational</x:v>
      </x:c>
      <x:c r="D175" s="26" t="n">
        <x:v>90</x:v>
      </x:c>
      <x:c r="E175" s="28" t="n">
        <x:v>0.04</x:v>
      </x:c>
      <x:c r="F175" s="14" t="n">
        <x:v>2</x:v>
      </x:c>
      <x:c r="G175" s="14" t="n">
        <x:v>29</x:v>
      </x:c>
      <x:c r="H175" s="14" t="str">
        <x:v>Yes</x:v>
      </x:c>
      <x:c r="I175" s="18" t="str">
        <x:v>Clear calculation, conversion, estimation, or formula intent</x:v>
      </x:c>
      <x:c r="J175" s="18" t="str">
        <x:v>Conversions &amp; Units</x:v>
      </x:c>
      <x:c r="K175" s="18" t="str">
        <x:v>Yen To Usd calculator</x:v>
      </x:c>
      <x:c r="L175" s="18" t="n">
        <x:v>1</x:v>
      </x:c>
      <x:c r="M175" s="18" t="str">
        <x:v>Easy</x:v>
      </x:c>
      <x:c r="N175" s="18" t="str">
        <x:v>High</x:v>
      </x:c>
      <x:c r="O175" s="18" t="str">
        <x:v>Ads</x:v>
      </x:c>
      <x:c r="P175" s="30" t="n">
        <x:f>MAX(0,100-G175)</x:f>
        <x:v>71</x:v>
      </x:c>
      <x:c r="Q175" s="30" t="n">
        <x:f>MIN(100,ROUND(LOG10(D175+1)*18,0))</x:f>
        <x:v>35</x:v>
      </x:c>
      <x:c r="R175" s="30" t="n">
        <x:f>MIN(100,ROUND(E175*12,0))</x:f>
        <x:v>0</x:v>
      </x:c>
      <x:c r="S175" s="30" t="n">
        <x:f>IF(H175="No",0,ROUND(P175*0.45+Q175*0.30+R175*0.15+IF(M175="Easy",10,IF(M175="Medium",6,2))+IF(N175="High",5,IF(N175="Medium",3,0)),1))</x:f>
        <x:v>57.5</x:v>
      </x:c>
      <x:c r="T175" s="14" t="str">
        <x:f>IF(H175="No","Exclude",IF(S175&gt;=70,"Priority 1",IF(S175&gt;=55,"Priority 2",IF(S175&gt;=40,"Priority 3","Low priority"))))</x:f>
        <x:v>Priority 2</x:v>
      </x:c>
    </x:row>
    <x:row r="176">
      <x:c r="A176" s="14" t="n">
        <x:v>175</x:v>
      </x:c>
      <x:c r="B176" s="18" t="str">
        <x:v>calculator 78</x:v>
      </x:c>
      <x:c r="C176" s="18" t="str">
        <x:v>informational, transactional</x:v>
      </x:c>
      <x:c r="D176" s="26" t="n">
        <x:v>40</x:v>
      </x:c>
      <x:c r="E176" s="28" t="n">
        <x:v>0</x:v>
      </x:c>
      <x:c r="F176" s="14" t="n">
        <x:v>1</x:v>
      </x:c>
      <x:c r="G176" s="14" t="n">
        <x:v>29</x:v>
      </x:c>
      <x:c r="H176" s="14" t="str">
        <x:v>No</x:v>
      </x:c>
      <x:c r="I176" s="18" t="str">
        <x:v>Model/number query, not a distinct web calculator</x:v>
      </x:c>
      <x:c r="J176" s="18" t="str">
        <x:v>Excluded / Non-calculator</x:v>
      </x:c>
      <x:c r="K176" s="18" t="str"/>
      <x:c r="L176" s="18" t="n">
        <x:v>0</x:v>
      </x:c>
      <x:c r="M176" s="18" t="str"/>
      <x:c r="N176" s="18" t="str"/>
      <x:c r="O176" s="18" t="str"/>
      <x:c r="P176" s="30" t="n">
        <x:f>MAX(0,100-G176)</x:f>
        <x:v>71</x:v>
      </x:c>
      <x:c r="Q176" s="30" t="n">
        <x:f>MIN(100,ROUND(LOG10(D176+1)*18,0))</x:f>
        <x:v>29</x:v>
      </x:c>
      <x:c r="R176" s="30" t="n">
        <x:f>MIN(100,ROUND(E176*12,0))</x:f>
        <x:v>0</x:v>
      </x:c>
      <x:c r="S176" s="30" t="n">
        <x:f>IF(H176="No",0,ROUND(P176*0.45+Q176*0.30+R176*0.15+IF(M176="Easy",10,IF(M176="Medium",6,2))+IF(N176="High",5,IF(N176="Medium",3,0)),1))</x:f>
        <x:v>0</x:v>
      </x:c>
      <x:c r="T176" s="14" t="str">
        <x:f>IF(H176="No","Exclude",IF(S176&gt;=70,"Priority 1",IF(S176&gt;=55,"Priority 2",IF(S176&gt;=40,"Priority 3","Low priority"))))</x:f>
        <x:v>Exclude</x:v>
      </x:c>
    </x:row>
    <x:row r="177">
      <x:c r="A177" s="14" t="n">
        <x:v>176</x:v>
      </x:c>
      <x:c r="B177" s="18" t="str">
        <x:v>calculator 991ex</x:v>
      </x:c>
      <x:c r="C177" s="18" t="str">
        <x:v>transactional</x:v>
      </x:c>
      <x:c r="D177" s="26" t="n">
        <x:v>40</x:v>
      </x:c>
      <x:c r="E177" s="28" t="n">
        <x:v>0.07</x:v>
      </x:c>
      <x:c r="F177" s="14" t="n">
        <x:v>64</x:v>
      </x:c>
      <x:c r="G177" s="14" t="n">
        <x:v>29</x:v>
      </x:c>
      <x:c r="H177" s="14" t="str">
        <x:v>No</x:v>
      </x:c>
      <x:c r="I177" s="18" t="str">
        <x:v>App/product/brand/navigation/media intent rather than a calculation</x:v>
      </x:c>
      <x:c r="J177" s="18" t="str">
        <x:v>Excluded / Non-calculator</x:v>
      </x:c>
      <x:c r="K177" s="18" t="str"/>
      <x:c r="L177" s="18" t="n">
        <x:v>0</x:v>
      </x:c>
      <x:c r="M177" s="18" t="str"/>
      <x:c r="N177" s="18" t="str"/>
      <x:c r="O177" s="18" t="str"/>
      <x:c r="P177" s="30" t="n">
        <x:f>MAX(0,100-G177)</x:f>
        <x:v>71</x:v>
      </x:c>
      <x:c r="Q177" s="30" t="n">
        <x:f>MIN(100,ROUND(LOG10(D177+1)*18,0))</x:f>
        <x:v>29</x:v>
      </x:c>
      <x:c r="R177" s="30" t="n">
        <x:f>MIN(100,ROUND(E177*12,0))</x:f>
        <x:v>1</x:v>
      </x:c>
      <x:c r="S177" s="30" t="n">
        <x:f>IF(H177="No",0,ROUND(P177*0.45+Q177*0.30+R177*0.15+IF(M177="Easy",10,IF(M177="Medium",6,2))+IF(N177="High",5,IF(N177="Medium",3,0)),1))</x:f>
        <x:v>0</x:v>
      </x:c>
      <x:c r="T177" s="14" t="str">
        <x:f>IF(H177="No","Exclude",IF(S177&gt;=70,"Priority 1",IF(S177&gt;=55,"Priority 2",IF(S177&gt;=40,"Priority 3","Low priority"))))</x:f>
        <x:v>Exclude</x:v>
      </x:c>
    </x:row>
    <x:row r="178">
      <x:c r="A178" s="14" t="n">
        <x:v>177</x:v>
      </x:c>
      <x:c r="B178" s="18" t="str">
        <x:v>calculator watch</x:v>
      </x:c>
      <x:c r="C178" s="18" t="str">
        <x:v>transactional</x:v>
      </x:c>
      <x:c r="D178" s="26" t="n">
        <x:v>8100</x:v>
      </x:c>
      <x:c r="E178" s="28" t="n">
        <x:v>0.21</x:v>
      </x:c>
      <x:c r="F178" s="14" t="n">
        <x:v>38</x:v>
      </x:c>
      <x:c r="G178" s="14" t="n">
        <x:v>30</x:v>
      </x:c>
      <x:c r="H178" s="14" t="str">
        <x:v>No</x:v>
      </x:c>
      <x:c r="I178" s="18" t="str">
        <x:v>App/product/brand/navigation/media intent rather than a calculation</x:v>
      </x:c>
      <x:c r="J178" s="18" t="str">
        <x:v>Excluded / Non-calculator</x:v>
      </x:c>
      <x:c r="K178" s="18" t="str"/>
      <x:c r="L178" s="18" t="n">
        <x:v>0</x:v>
      </x:c>
      <x:c r="M178" s="18" t="str"/>
      <x:c r="N178" s="18" t="str"/>
      <x:c r="O178" s="18" t="str"/>
      <x:c r="P178" s="30" t="n">
        <x:f>MAX(0,100-G178)</x:f>
        <x:v>70</x:v>
      </x:c>
      <x:c r="Q178" s="30" t="n">
        <x:f>MIN(100,ROUND(LOG10(D178+1)*18,0))</x:f>
        <x:v>70</x:v>
      </x:c>
      <x:c r="R178" s="30" t="n">
        <x:f>MIN(100,ROUND(E178*12,0))</x:f>
        <x:v>3</x:v>
      </x:c>
      <x:c r="S178" s="30" t="n">
        <x:f>IF(H178="No",0,ROUND(P178*0.45+Q178*0.30+R178*0.15+IF(M178="Easy",10,IF(M178="Medium",6,2))+IF(N178="High",5,IF(N178="Medium",3,0)),1))</x:f>
        <x:v>0</x:v>
      </x:c>
      <x:c r="T178" s="14" t="str">
        <x:f>IF(H178="No","Exclude",IF(S178&gt;=70,"Priority 1",IF(S178&gt;=55,"Priority 2",IF(S178&gt;=40,"Priority 3","Low priority"))))</x:f>
        <x:v>Exclude</x:v>
      </x:c>
    </x:row>
    <x:row r="179">
      <x:c r="A179" s="14" t="n">
        <x:v>178</x:v>
      </x:c>
      <x:c r="B179" s="18" t="str">
        <x:v>calculator buttons</x:v>
      </x:c>
      <x:c r="C179" s="18" t="str">
        <x:v>informational</x:v>
      </x:c>
      <x:c r="D179" s="26" t="n">
        <x:v>1000</x:v>
      </x:c>
      <x:c r="E179" s="28" t="n">
        <x:v>0.04</x:v>
      </x:c>
      <x:c r="F179" s="14" t="n">
        <x:v>8</x:v>
      </x:c>
      <x:c r="G179" s="14" t="n">
        <x:v>30</x:v>
      </x:c>
      <x:c r="H179" s="14" t="str">
        <x:v>Maybe</x:v>
      </x:c>
      <x:c r="I179" s="18" t="str">
        <x:v>Insufficiently specific; requires SERP validation before development</x:v>
      </x:c>
      <x:c r="J179" s="18" t="str">
        <x:v>General / Other</x:v>
      </x:c>
      <x:c r="K179" s="18" t="str">
        <x:v>Buttons calculator</x:v>
      </x:c>
      <x:c r="L179" s="18" t="n">
        <x:v>1</x:v>
      </x:c>
      <x:c r="M179" s="18" t="str">
        <x:v>Easy</x:v>
      </x:c>
      <x:c r="N179" s="18" t="str">
        <x:v>Medium</x:v>
      </x:c>
      <x:c r="O179" s="18" t="str">
        <x:v>Ads</x:v>
      </x:c>
      <x:c r="P179" s="30" t="n">
        <x:f>MAX(0,100-G179)</x:f>
        <x:v>70</x:v>
      </x:c>
      <x:c r="Q179" s="30" t="n">
        <x:f>MIN(100,ROUND(LOG10(D179+1)*18,0))</x:f>
        <x:v>54</x:v>
      </x:c>
      <x:c r="R179" s="30" t="n">
        <x:f>MIN(100,ROUND(E179*12,0))</x:f>
        <x:v>0</x:v>
      </x:c>
      <x:c r="S179" s="30" t="n">
        <x:f>IF(H179="No",0,ROUND(P179*0.45+Q179*0.30+R179*0.15+IF(M179="Easy",10,IF(M179="Medium",6,2))+IF(N179="High",5,IF(N179="Medium",3,0)),1))</x:f>
        <x:v>60.7</x:v>
      </x:c>
      <x:c r="T179" s="14" t="str">
        <x:f>IF(H179="No","Exclude",IF(S179&gt;=70,"Priority 1",IF(S179&gt;=55,"Priority 2",IF(S179&gt;=40,"Priority 3","Low priority"))))</x:f>
        <x:v>Priority 2</x:v>
      </x:c>
    </x:row>
    <x:row r="180">
      <x:c r="A180" s="14" t="n">
        <x:v>179</x:v>
      </x:c>
      <x:c r="B180" s="18" t="str">
        <x:v>calculator font</x:v>
      </x:c>
      <x:c r="C180" s="18" t="str">
        <x:v>informational</x:v>
      </x:c>
      <x:c r="D180" s="26" t="n">
        <x:v>880</x:v>
      </x:c>
      <x:c r="E180" s="28" t="n">
        <x:v>0</x:v>
      </x:c>
      <x:c r="F180" s="14" t="n">
        <x:v>1</x:v>
      </x:c>
      <x:c r="G180" s="14" t="n">
        <x:v>30</x:v>
      </x:c>
      <x:c r="H180" s="14" t="str">
        <x:v>No</x:v>
      </x:c>
      <x:c r="I180" s="18" t="str">
        <x:v>App/product/brand/navigation/media intent rather than a calculation</x:v>
      </x:c>
      <x:c r="J180" s="18" t="str">
        <x:v>Excluded / Non-calculator</x:v>
      </x:c>
      <x:c r="K180" s="18" t="str"/>
      <x:c r="L180" s="18" t="n">
        <x:v>0</x:v>
      </x:c>
      <x:c r="M180" s="18" t="str"/>
      <x:c r="N180" s="18" t="str"/>
      <x:c r="O180" s="18" t="str"/>
      <x:c r="P180" s="30" t="n">
        <x:f>MAX(0,100-G180)</x:f>
        <x:v>70</x:v>
      </x:c>
      <x:c r="Q180" s="30" t="n">
        <x:f>MIN(100,ROUND(LOG10(D180+1)*18,0))</x:f>
        <x:v>53</x:v>
      </x:c>
      <x:c r="R180" s="30" t="n">
        <x:f>MIN(100,ROUND(E180*12,0))</x:f>
        <x:v>0</x:v>
      </x:c>
      <x:c r="S180" s="30" t="n">
        <x:f>IF(H180="No",0,ROUND(P180*0.45+Q180*0.30+R180*0.15+IF(M180="Easy",10,IF(M180="Medium",6,2))+IF(N180="High",5,IF(N180="Medium",3,0)),1))</x:f>
        <x:v>0</x:v>
      </x:c>
      <x:c r="T180" s="14" t="str">
        <x:f>IF(H180="No","Exclude",IF(S180&gt;=70,"Priority 1",IF(S180&gt;=55,"Priority 2",IF(S180&gt;=40,"Priority 3","Low priority"))))</x:f>
        <x:v>Exclude</x:v>
      </x:c>
    </x:row>
    <x:row r="181">
      <x:c r="A181" s="14" t="n">
        <x:v>180</x:v>
      </x:c>
      <x:c r="B181" s="18" t="str">
        <x:v>calculator keyboard shortcut</x:v>
      </x:c>
      <x:c r="C181" s="18" t="str">
        <x:v>informational</x:v>
      </x:c>
      <x:c r="D181" s="26" t="n">
        <x:v>880</x:v>
      </x:c>
      <x:c r="E181" s="28" t="n">
        <x:v>0</x:v>
      </x:c>
      <x:c r="F181" s="14" t="n">
        <x:v>1</x:v>
      </x:c>
      <x:c r="G181" s="14" t="n">
        <x:v>30</x:v>
      </x:c>
      <x:c r="H181" s="14" t="str">
        <x:v>No</x:v>
      </x:c>
      <x:c r="I181" s="18" t="str">
        <x:v>App/product/brand/navigation/media intent rather than a calculation</x:v>
      </x:c>
      <x:c r="J181" s="18" t="str">
        <x:v>Excluded / Non-calculator</x:v>
      </x:c>
      <x:c r="K181" s="18" t="str"/>
      <x:c r="L181" s="18" t="n">
        <x:v>0</x:v>
      </x:c>
      <x:c r="M181" s="18" t="str"/>
      <x:c r="N181" s="18" t="str"/>
      <x:c r="O181" s="18" t="str"/>
      <x:c r="P181" s="30" t="n">
        <x:f>MAX(0,100-G181)</x:f>
        <x:v>70</x:v>
      </x:c>
      <x:c r="Q181" s="30" t="n">
        <x:f>MIN(100,ROUND(LOG10(D181+1)*18,0))</x:f>
        <x:v>53</x:v>
      </x:c>
      <x:c r="R181" s="30" t="n">
        <x:f>MIN(100,ROUND(E181*12,0))</x:f>
        <x:v>0</x:v>
      </x:c>
      <x:c r="S181" s="30" t="n">
        <x:f>IF(H181="No",0,ROUND(P181*0.45+Q181*0.30+R181*0.15+IF(M181="Easy",10,IF(M181="Medium",6,2))+IF(N181="High",5,IF(N181="Medium",3,0)),1))</x:f>
        <x:v>0</x:v>
      </x:c>
      <x:c r="T181" s="14" t="str">
        <x:f>IF(H181="No","Exclude",IF(S181&gt;=70,"Priority 1",IF(S181&gt;=55,"Priority 2",IF(S181&gt;=40,"Priority 3","Low priority"))))</x:f>
        <x:v>Exclude</x:v>
      </x:c>
    </x:row>
    <x:row r="182">
      <x:c r="A182" s="14" t="n">
        <x:v>181</x:v>
      </x:c>
      <x:c r="B182" s="18" t="str">
        <x:v>calculator ruler</x:v>
      </x:c>
      <x:c r="C182" s="18" t="str">
        <x:v>commercial, navigational</x:v>
      </x:c>
      <x:c r="D182" s="26" t="n">
        <x:v>720</x:v>
      </x:c>
      <x:c r="E182" s="28" t="n">
        <x:v>0.27</x:v>
      </x:c>
      <x:c r="F182" s="14" t="n">
        <x:v>16</x:v>
      </x:c>
      <x:c r="G182" s="14" t="n">
        <x:v>30</x:v>
      </x:c>
      <x:c r="H182" s="14" t="str">
        <x:v>Maybe</x:v>
      </x:c>
      <x:c r="I182" s="18" t="str">
        <x:v>Insufficiently specific; requires SERP validation before development</x:v>
      </x:c>
      <x:c r="J182" s="18" t="str">
        <x:v>General / Other</x:v>
      </x:c>
      <x:c r="K182" s="18" t="str">
        <x:v>Ruler calculator</x:v>
      </x:c>
      <x:c r="L182" s="18" t="n">
        <x:v>1</x:v>
      </x:c>
      <x:c r="M182" s="18" t="str">
        <x:v>Easy</x:v>
      </x:c>
      <x:c r="N182" s="18" t="str">
        <x:v>Medium</x:v>
      </x:c>
      <x:c r="O182" s="18" t="str">
        <x:v>Ads</x:v>
      </x:c>
      <x:c r="P182" s="30" t="n">
        <x:f>MAX(0,100-G182)</x:f>
        <x:v>70</x:v>
      </x:c>
      <x:c r="Q182" s="30" t="n">
        <x:f>MIN(100,ROUND(LOG10(D182+1)*18,0))</x:f>
        <x:v>51</x:v>
      </x:c>
      <x:c r="R182" s="30" t="n">
        <x:f>MIN(100,ROUND(E182*12,0))</x:f>
        <x:v>3</x:v>
      </x:c>
      <x:c r="S182" s="30" t="n">
        <x:f>IF(H182="No",0,ROUND(P182*0.45+Q182*0.30+R182*0.15+IF(M182="Easy",10,IF(M182="Medium",6,2))+IF(N182="High",5,IF(N182="Medium",3,0)),1))</x:f>
        <x:v>60.3</x:v>
      </x:c>
      <x:c r="T182" s="14" t="str">
        <x:f>IF(H182="No","Exclude",IF(S182&gt;=70,"Priority 1",IF(S182&gt;=55,"Priority 2",IF(S182&gt;=40,"Priority 3","Low priority"))))</x:f>
        <x:v>Priority 2</x:v>
      </x:c>
    </x:row>
    <x:row r="183">
      <x:c r="A183" s="14" t="n">
        <x:v>182</x:v>
      </x:c>
      <x:c r="B183" s="18" t="str">
        <x:v>calculator x app</x:v>
      </x:c>
      <x:c r="C183" s="18" t="str">
        <x:v>informational</x:v>
      </x:c>
      <x:c r="D183" s="26" t="n">
        <x:v>590</x:v>
      </x:c>
      <x:c r="E183" s="28" t="n">
        <x:v>0</x:v>
      </x:c>
      <x:c r="F183" s="14" t="n">
        <x:v>1</x:v>
      </x:c>
      <x:c r="G183" s="14" t="n">
        <x:v>30</x:v>
      </x:c>
      <x:c r="H183" s="14" t="str">
        <x:v>No</x:v>
      </x:c>
      <x:c r="I183" s="18" t="str">
        <x:v>App/product/brand/navigation/media intent rather than a calculation</x:v>
      </x:c>
      <x:c r="J183" s="18" t="str">
        <x:v>Excluded / Non-calculator</x:v>
      </x:c>
      <x:c r="K183" s="18" t="str"/>
      <x:c r="L183" s="18" t="n">
        <x:v>0</x:v>
      </x:c>
      <x:c r="M183" s="18" t="str"/>
      <x:c r="N183" s="18" t="str"/>
      <x:c r="O183" s="18" t="str"/>
      <x:c r="P183" s="30" t="n">
        <x:f>MAX(0,100-G183)</x:f>
        <x:v>70</x:v>
      </x:c>
      <x:c r="Q183" s="30" t="n">
        <x:f>MIN(100,ROUND(LOG10(D183+1)*18,0))</x:f>
        <x:v>50</x:v>
      </x:c>
      <x:c r="R183" s="30" t="n">
        <x:f>MIN(100,ROUND(E183*12,0))</x:f>
        <x:v>0</x:v>
      </x:c>
      <x:c r="S183" s="30" t="n">
        <x:f>IF(H183="No",0,ROUND(P183*0.45+Q183*0.30+R183*0.15+IF(M183="Easy",10,IF(M183="Medium",6,2))+IF(N183="High",5,IF(N183="Medium",3,0)),1))</x:f>
        <x:v>0</x:v>
      </x:c>
      <x:c r="T183" s="14" t="str">
        <x:f>IF(H183="No","Exclude",IF(S183&gt;=70,"Priority 1",IF(S183&gt;=55,"Priority 2",IF(S183&gt;=40,"Priority 3","Low priority"))))</x:f>
        <x:v>Exclude</x:v>
      </x:c>
    </x:row>
    <x:row r="184">
      <x:c r="A184" s="14" t="n">
        <x:v>183</x:v>
      </x:c>
      <x:c r="B184" s="18" t="str">
        <x:v>calculator keys</x:v>
      </x:c>
      <x:c r="C184" s="18" t="str">
        <x:v>informational, transactional</x:v>
      </x:c>
      <x:c r="D184" s="26" t="n">
        <x:v>320</x:v>
      </x:c>
      <x:c r="E184" s="28" t="n">
        <x:v>0</x:v>
      </x:c>
      <x:c r="F184" s="14" t="n">
        <x:v>3</x:v>
      </x:c>
      <x:c r="G184" s="14" t="n">
        <x:v>30</x:v>
      </x:c>
      <x:c r="H184" s="14" t="str">
        <x:v>Maybe</x:v>
      </x:c>
      <x:c r="I184" s="18" t="str">
        <x:v>Insufficiently specific; requires SERP validation before development</x:v>
      </x:c>
      <x:c r="J184" s="18" t="str">
        <x:v>General / Other</x:v>
      </x:c>
      <x:c r="K184" s="18" t="str">
        <x:v>Keys calculator</x:v>
      </x:c>
      <x:c r="L184" s="18" t="n">
        <x:v>1</x:v>
      </x:c>
      <x:c r="M184" s="18" t="str">
        <x:v>Easy</x:v>
      </x:c>
      <x:c r="N184" s="18" t="str">
        <x:v>Medium</x:v>
      </x:c>
      <x:c r="O184" s="18" t="str">
        <x:v>Ads</x:v>
      </x:c>
      <x:c r="P184" s="30" t="n">
        <x:f>MAX(0,100-G184)</x:f>
        <x:v>70</x:v>
      </x:c>
      <x:c r="Q184" s="30" t="n">
        <x:f>MIN(100,ROUND(LOG10(D184+1)*18,0))</x:f>
        <x:v>45</x:v>
      </x:c>
      <x:c r="R184" s="30" t="n">
        <x:f>MIN(100,ROUND(E184*12,0))</x:f>
        <x:v>0</x:v>
      </x:c>
      <x:c r="S184" s="30" t="n">
        <x:f>IF(H184="No",0,ROUND(P184*0.45+Q184*0.30+R184*0.15+IF(M184="Easy",10,IF(M184="Medium",6,2))+IF(N184="High",5,IF(N184="Medium",3,0)),1))</x:f>
        <x:v>58</x:v>
      </x:c>
      <x:c r="T184" s="14" t="str">
        <x:f>IF(H184="No","Exclude",IF(S184&gt;=70,"Priority 1",IF(S184&gt;=55,"Priority 2",IF(S184&gt;=40,"Priority 3","Low priority"))))</x:f>
        <x:v>Priority 2</x:v>
      </x:c>
    </x:row>
    <x:row r="185">
      <x:c r="A185" s="14" t="n">
        <x:v>184</x:v>
      </x:c>
      <x:c r="B185" s="18" t="str">
        <x:v>calculator 1970s</x:v>
      </x:c>
      <x:c r="C185" s="18" t="str">
        <x:v>transactional, informational</x:v>
      </x:c>
      <x:c r="D185" s="26" t="n">
        <x:v>260</x:v>
      </x:c>
      <x:c r="E185" s="28" t="n">
        <x:v>0.13</x:v>
      </x:c>
      <x:c r="F185" s="14" t="n">
        <x:v>66</x:v>
      </x:c>
      <x:c r="G185" s="14" t="n">
        <x:v>30</x:v>
      </x:c>
      <x:c r="H185" s="14" t="str">
        <x:v>Maybe</x:v>
      </x:c>
      <x:c r="I185" s="18" t="str">
        <x:v>Insufficiently specific; requires SERP validation before development</x:v>
      </x:c>
      <x:c r="J185" s="18" t="str">
        <x:v>General / Other</x:v>
      </x:c>
      <x:c r="K185" s="18" t="str">
        <x:v>1970S calculator</x:v>
      </x:c>
      <x:c r="L185" s="18" t="n">
        <x:v>1</x:v>
      </x:c>
      <x:c r="M185" s="18" t="str">
        <x:v>Easy</x:v>
      </x:c>
      <x:c r="N185" s="18" t="str">
        <x:v>Medium</x:v>
      </x:c>
      <x:c r="O185" s="18" t="str">
        <x:v>Ads</x:v>
      </x:c>
      <x:c r="P185" s="30" t="n">
        <x:f>MAX(0,100-G185)</x:f>
        <x:v>70</x:v>
      </x:c>
      <x:c r="Q185" s="30" t="n">
        <x:f>MIN(100,ROUND(LOG10(D185+1)*18,0))</x:f>
        <x:v>43</x:v>
      </x:c>
      <x:c r="R185" s="30" t="n">
        <x:f>MIN(100,ROUND(E185*12,0))</x:f>
        <x:v>2</x:v>
      </x:c>
      <x:c r="S185" s="30" t="n">
        <x:f>IF(H185="No",0,ROUND(P185*0.45+Q185*0.30+R185*0.15+IF(M185="Easy",10,IF(M185="Medium",6,2))+IF(N185="High",5,IF(N185="Medium",3,0)),1))</x:f>
        <x:v>57.7</x:v>
      </x:c>
      <x:c r="T185" s="14" t="str">
        <x:f>IF(H185="No","Exclude",IF(S185&gt;=70,"Priority 1",IF(S185&gt;=55,"Priority 2",IF(S185&gt;=40,"Priority 3","Low priority"))))</x:f>
        <x:v>Priority 2</x:v>
      </x:c>
    </x:row>
    <x:row r="186">
      <x:c r="A186" s="14" t="n">
        <x:v>185</x:v>
      </x:c>
      <x:c r="B186" s="18" t="str">
        <x:v>calculator easy drawing</x:v>
      </x:c>
      <x:c r="C186" s="18" t="str">
        <x:v>informational</x:v>
      </x:c>
      <x:c r="D186" s="26" t="n">
        <x:v>170</x:v>
      </x:c>
      <x:c r="E186" s="28" t="n">
        <x:v>0</x:v>
      </x:c>
      <x:c r="F186" s="14" t="n">
        <x:v>1</x:v>
      </x:c>
      <x:c r="G186" s="14" t="n">
        <x:v>30</x:v>
      </x:c>
      <x:c r="H186" s="14" t="str">
        <x:v>No</x:v>
      </x:c>
      <x:c r="I186" s="18" t="str">
        <x:v>App/product/brand/navigation/media intent rather than a calculation</x:v>
      </x:c>
      <x:c r="J186" s="18" t="str">
        <x:v>Excluded / Non-calculator</x:v>
      </x:c>
      <x:c r="K186" s="18" t="str"/>
      <x:c r="L186" s="18" t="n">
        <x:v>0</x:v>
      </x:c>
      <x:c r="M186" s="18" t="str"/>
      <x:c r="N186" s="18" t="str"/>
      <x:c r="O186" s="18" t="str"/>
      <x:c r="P186" s="30" t="n">
        <x:f>MAX(0,100-G186)</x:f>
        <x:v>70</x:v>
      </x:c>
      <x:c r="Q186" s="30" t="n">
        <x:f>MIN(100,ROUND(LOG10(D186+1)*18,0))</x:f>
        <x:v>40</x:v>
      </x:c>
      <x:c r="R186" s="30" t="n">
        <x:f>MIN(100,ROUND(E186*12,0))</x:f>
        <x:v>0</x:v>
      </x:c>
      <x:c r="S186" s="30" t="n">
        <x:f>IF(H186="No",0,ROUND(P186*0.45+Q186*0.30+R186*0.15+IF(M186="Easy",10,IF(M186="Medium",6,2))+IF(N186="High",5,IF(N186="Medium",3,0)),1))</x:f>
        <x:v>0</x:v>
      </x:c>
      <x:c r="T186" s="14" t="str">
        <x:f>IF(H186="No","Exclude",IF(S186&gt;=70,"Priority 1",IF(S186&gt;=55,"Priority 2",IF(S186&gt;=40,"Priority 3","Low priority"))))</x:f>
        <x:v>Exclude</x:v>
      </x:c>
    </x:row>
    <x:row r="187">
      <x:c r="A187" s="14" t="n">
        <x:v>186</x:v>
      </x:c>
      <x:c r="B187" s="18" t="str">
        <x:v>calculator magic trick date and time</x:v>
      </x:c>
      <x:c r="C187" s="18" t="str">
        <x:v>informational</x:v>
      </x:c>
      <x:c r="D187" s="26" t="n">
        <x:v>90</x:v>
      </x:c>
      <x:c r="E187" s="28" t="n">
        <x:v>0</x:v>
      </x:c>
      <x:c r="F187" s="14" t="n">
        <x:v>1</x:v>
      </x:c>
      <x:c r="G187" s="14" t="n">
        <x:v>30</x:v>
      </x:c>
      <x:c r="H187" s="14" t="str">
        <x:v>Yes</x:v>
      </x:c>
      <x:c r="I187" s="18" t="str">
        <x:v>Clear calculation, conversion, estimation, or formula intent</x:v>
      </x:c>
      <x:c r="J187" s="18" t="str">
        <x:v>Date &amp; Time</x:v>
      </x:c>
      <x:c r="K187" s="18" t="str">
        <x:v>Date calculator</x:v>
      </x:c>
      <x:c r="L187" s="18" t="n">
        <x:v>9</x:v>
      </x:c>
      <x:c r="M187" s="18" t="str">
        <x:v>Easy</x:v>
      </x:c>
      <x:c r="N187" s="18" t="str">
        <x:v>Medium</x:v>
      </x:c>
      <x:c r="O187" s="18" t="str">
        <x:v>Ads</x:v>
      </x:c>
      <x:c r="P187" s="30" t="n">
        <x:f>MAX(0,100-G187)</x:f>
        <x:v>70</x:v>
      </x:c>
      <x:c r="Q187" s="30" t="n">
        <x:f>MIN(100,ROUND(LOG10(D187+1)*18,0))</x:f>
        <x:v>35</x:v>
      </x:c>
      <x:c r="R187" s="30" t="n">
        <x:f>MIN(100,ROUND(E187*12,0))</x:f>
        <x:v>0</x:v>
      </x:c>
      <x:c r="S187" s="30" t="n">
        <x:f>IF(H187="No",0,ROUND(P187*0.45+Q187*0.30+R187*0.15+IF(M187="Easy",10,IF(M187="Medium",6,2))+IF(N187="High",5,IF(N187="Medium",3,0)),1))</x:f>
        <x:v>55</x:v>
      </x:c>
      <x:c r="T187" s="14" t="str">
        <x:f>IF(H187="No","Exclude",IF(S187&gt;=70,"Priority 1",IF(S187&gt;=55,"Priority 2",IF(S187&gt;=40,"Priority 3","Low priority"))))</x:f>
        <x:v>Priority 2</x:v>
      </x:c>
    </x:row>
    <x:row r="188">
      <x:c r="A188" s="14" t="n">
        <x:v>187</x:v>
      </x:c>
      <x:c r="B188" s="18" t="str">
        <x:v>calculator jokes upside down</x:v>
      </x:c>
      <x:c r="C188" s="18" t="str">
        <x:v>informational</x:v>
      </x:c>
      <x:c r="D188" s="26" t="n">
        <x:v>70</x:v>
      </x:c>
      <x:c r="E188" s="28" t="n">
        <x:v>0</x:v>
      </x:c>
      <x:c r="F188" s="14" t="n">
        <x:v>1</x:v>
      </x:c>
      <x:c r="G188" s="14" t="n">
        <x:v>30</x:v>
      </x:c>
      <x:c r="H188" s="14" t="str">
        <x:v>Maybe</x:v>
      </x:c>
      <x:c r="I188" s="18" t="str">
        <x:v>Insufficiently specific; requires SERP validation before development</x:v>
      </x:c>
      <x:c r="J188" s="18" t="str">
        <x:v>General / Other</x:v>
      </x:c>
      <x:c r="K188" s="18" t="str">
        <x:v>Jokes Upside Down calculator</x:v>
      </x:c>
      <x:c r="L188" s="18" t="n">
        <x:v>1</x:v>
      </x:c>
      <x:c r="M188" s="18" t="str">
        <x:v>Easy</x:v>
      </x:c>
      <x:c r="N188" s="18" t="str">
        <x:v>Medium</x:v>
      </x:c>
      <x:c r="O188" s="18" t="str">
        <x:v>Ads</x:v>
      </x:c>
      <x:c r="P188" s="30" t="n">
        <x:f>MAX(0,100-G188)</x:f>
        <x:v>70</x:v>
      </x:c>
      <x:c r="Q188" s="30" t="n">
        <x:f>MIN(100,ROUND(LOG10(D188+1)*18,0))</x:f>
        <x:v>33</x:v>
      </x:c>
      <x:c r="R188" s="30" t="n">
        <x:f>MIN(100,ROUND(E188*12,0))</x:f>
        <x:v>0</x:v>
      </x:c>
      <x:c r="S188" s="30" t="n">
        <x:f>IF(H188="No",0,ROUND(P188*0.45+Q188*0.30+R188*0.15+IF(M188="Easy",10,IF(M188="Medium",6,2))+IF(N188="High",5,IF(N188="Medium",3,0)),1))</x:f>
        <x:v>54.4</x:v>
      </x:c>
      <x:c r="T188" s="14" t="str">
        <x:f>IF(H188="No","Exclude",IF(S188&gt;=70,"Priority 1",IF(S188&gt;=55,"Priority 2",IF(S188&gt;=40,"Priority 3","Low priority"))))</x:f>
        <x:v>Priority 3</x:v>
      </x:c>
    </x:row>
    <x:row r="189">
      <x:c r="A189" s="14" t="n">
        <x:v>188</x:v>
      </x:c>
      <x:c r="B189" s="18" t="str">
        <x:v>calculator quotes</x:v>
      </x:c>
      <x:c r="C189" s="18" t="str">
        <x:v>informational</x:v>
      </x:c>
      <x:c r="D189" s="26" t="n">
        <x:v>40</x:v>
      </x:c>
      <x:c r="E189" s="28" t="n">
        <x:v>18.98</x:v>
      </x:c>
      <x:c r="F189" s="14" t="n">
        <x:v>1</x:v>
      </x:c>
      <x:c r="G189" s="14" t="n">
        <x:v>30</x:v>
      </x:c>
      <x:c r="H189" s="14" t="str">
        <x:v>Maybe</x:v>
      </x:c>
      <x:c r="I189" s="18" t="str">
        <x:v>Insufficiently specific; requires SERP validation before development</x:v>
      </x:c>
      <x:c r="J189" s="18" t="str">
        <x:v>General / Other</x:v>
      </x:c>
      <x:c r="K189" s="18" t="str">
        <x:v>Quotes calculator</x:v>
      </x:c>
      <x:c r="L189" s="18" t="n">
        <x:v>1</x:v>
      </x:c>
      <x:c r="M189" s="18" t="str">
        <x:v>Easy</x:v>
      </x:c>
      <x:c r="N189" s="18" t="str">
        <x:v>Medium</x:v>
      </x:c>
      <x:c r="O189" s="18" t="str">
        <x:v>Ads</x:v>
      </x:c>
      <x:c r="P189" s="30" t="n">
        <x:f>MAX(0,100-G189)</x:f>
        <x:v>70</x:v>
      </x:c>
      <x:c r="Q189" s="30" t="n">
        <x:f>MIN(100,ROUND(LOG10(D189+1)*18,0))</x:f>
        <x:v>29</x:v>
      </x:c>
      <x:c r="R189" s="30" t="n">
        <x:f>MIN(100,ROUND(E189*12,0))</x:f>
        <x:v>100</x:v>
      </x:c>
      <x:c r="S189" s="30" t="n">
        <x:f>IF(H189="No",0,ROUND(P189*0.45+Q189*0.30+R189*0.15+IF(M189="Easy",10,IF(M189="Medium",6,2))+IF(N189="High",5,IF(N189="Medium",3,0)),1))</x:f>
        <x:v>68.2</x:v>
      </x:c>
      <x:c r="T189" s="14" t="str">
        <x:f>IF(H189="No","Exclude",IF(S189&gt;=70,"Priority 1",IF(S189&gt;=55,"Priority 2",IF(S189&gt;=40,"Priority 3","Low priority"))))</x:f>
        <x:v>Priority 2</x:v>
      </x:c>
    </x:row>
    <x:row r="190">
      <x:c r="A190" s="14" t="n">
        <x:v>189</x:v>
      </x:c>
      <x:c r="B190" s="18" t="str">
        <x:v>calculator 304 upside down</x:v>
      </x:c>
      <x:c r="C190" s="18" t="str">
        <x:v>null</x:v>
      </x:c>
      <x:c r="D190" s="26" t="n">
        <x:v>0</x:v>
      </x:c>
      <x:c r="E190" s="28" t="n">
        <x:v>0</x:v>
      </x:c>
      <x:c r="F190" s="14" t="n">
        <x:v>1</x:v>
      </x:c>
      <x:c r="G190" s="14" t="n">
        <x:v>30</x:v>
      </x:c>
      <x:c r="H190" s="14" t="str">
        <x:v>No</x:v>
      </x:c>
      <x:c r="I190" s="18" t="str">
        <x:v>No measurable volume and no clear calculator-specific intent</x:v>
      </x:c>
      <x:c r="J190" s="18" t="str">
        <x:v>Excluded / Non-calculator</x:v>
      </x:c>
      <x:c r="K190" s="18" t="str"/>
      <x:c r="L190" s="18" t="n">
        <x:v>0</x:v>
      </x:c>
      <x:c r="M190" s="18" t="str"/>
      <x:c r="N190" s="18" t="str"/>
      <x:c r="O190" s="18" t="str"/>
      <x:c r="P190" s="30" t="n">
        <x:f>MAX(0,100-G190)</x:f>
        <x:v>70</x:v>
      </x:c>
      <x:c r="Q190" s="30" t="n">
        <x:f>MIN(100,ROUND(LOG10(D190+1)*18,0))</x:f>
        <x:v>0</x:v>
      </x:c>
      <x:c r="R190" s="30" t="n">
        <x:f>MIN(100,ROUND(E190*12,0))</x:f>
        <x:v>0</x:v>
      </x:c>
      <x:c r="S190" s="30" t="n">
        <x:f>IF(H190="No",0,ROUND(P190*0.45+Q190*0.30+R190*0.15+IF(M190="Easy",10,IF(M190="Medium",6,2))+IF(N190="High",5,IF(N190="Medium",3,0)),1))</x:f>
        <x:v>0</x:v>
      </x:c>
      <x:c r="T190" s="14" t="str">
        <x:f>IF(H190="No","Exclude",IF(S190&gt;=70,"Priority 1",IF(S190&gt;=55,"Priority 2",IF(S190&gt;=40,"Priority 3","Low priority"))))</x:f>
        <x:v>Exclude</x:v>
      </x:c>
    </x:row>
    <x:row r="191">
      <x:c r="A191" s="14" t="n">
        <x:v>190</x:v>
      </x:c>
      <x:c r="B191" s="18" t="str">
        <x:v>calculator allowed on act</x:v>
      </x:c>
      <x:c r="C191" s="18" t="str">
        <x:v>informational</x:v>
      </x:c>
      <x:c r="D191" s="26" t="n">
        <x:v>1000</x:v>
      </x:c>
      <x:c r="E191" s="28" t="n">
        <x:v>0</x:v>
      </x:c>
      <x:c r="F191" s="14" t="n">
        <x:v>1</x:v>
      </x:c>
      <x:c r="G191" s="14" t="n">
        <x:v>31</x:v>
      </x:c>
      <x:c r="H191" s="14" t="str">
        <x:v>Maybe</x:v>
      </x:c>
      <x:c r="I191" s="18" t="str">
        <x:v>Insufficiently specific; requires SERP validation before development</x:v>
      </x:c>
      <x:c r="J191" s="18" t="str">
        <x:v>General / Other</x:v>
      </x:c>
      <x:c r="K191" s="18" t="str">
        <x:v>Allowed On Act calculator</x:v>
      </x:c>
      <x:c r="L191" s="18" t="n">
        <x:v>1</x:v>
      </x:c>
      <x:c r="M191" s="18" t="str">
        <x:v>Easy</x:v>
      </x:c>
      <x:c r="N191" s="18" t="str">
        <x:v>Medium</x:v>
      </x:c>
      <x:c r="O191" s="18" t="str">
        <x:v>Ads</x:v>
      </x:c>
      <x:c r="P191" s="30" t="n">
        <x:f>MAX(0,100-G191)</x:f>
        <x:v>69</x:v>
      </x:c>
      <x:c r="Q191" s="30" t="n">
        <x:f>MIN(100,ROUND(LOG10(D191+1)*18,0))</x:f>
        <x:v>54</x:v>
      </x:c>
      <x:c r="R191" s="30" t="n">
        <x:f>MIN(100,ROUND(E191*12,0))</x:f>
        <x:v>0</x:v>
      </x:c>
      <x:c r="S191" s="30" t="n">
        <x:f>IF(H191="No",0,ROUND(P191*0.45+Q191*0.30+R191*0.15+IF(M191="Easy",10,IF(M191="Medium",6,2))+IF(N191="High",5,IF(N191="Medium",3,0)),1))</x:f>
        <x:v>60.3</x:v>
      </x:c>
      <x:c r="T191" s="14" t="str">
        <x:f>IF(H191="No","Exclude",IF(S191&gt;=70,"Priority 1",IF(S191&gt;=55,"Priority 2",IF(S191&gt;=40,"Priority 3","Low priority"))))</x:f>
        <x:v>Priority 2</x:v>
      </x:c>
    </x:row>
    <x:row r="192">
      <x:c r="A192" s="14" t="n">
        <x:v>191</x:v>
      </x:c>
      <x:c r="B192" s="18" t="str">
        <x:v>calculator with paper roll</x:v>
      </x:c>
      <x:c r="C192" s="18" t="str">
        <x:v>commercial, informational</x:v>
      </x:c>
      <x:c r="D192" s="26" t="n">
        <x:v>720</x:v>
      </x:c>
      <x:c r="E192" s="28" t="n">
        <x:v>0.75</x:v>
      </x:c>
      <x:c r="F192" s="14" t="n">
        <x:v>100</x:v>
      </x:c>
      <x:c r="G192" s="14" t="n">
        <x:v>31</x:v>
      </x:c>
      <x:c r="H192" s="14" t="str">
        <x:v>No</x:v>
      </x:c>
      <x:c r="I192" s="18" t="str">
        <x:v>App/product/brand/navigation/media intent rather than a calculation</x:v>
      </x:c>
      <x:c r="J192" s="18" t="str">
        <x:v>Excluded / Non-calculator</x:v>
      </x:c>
      <x:c r="K192" s="18" t="str"/>
      <x:c r="L192" s="18" t="n">
        <x:v>0</x:v>
      </x:c>
      <x:c r="M192" s="18" t="str"/>
      <x:c r="N192" s="18" t="str"/>
      <x:c r="O192" s="18" t="str"/>
      <x:c r="P192" s="30" t="n">
        <x:f>MAX(0,100-G192)</x:f>
        <x:v>69</x:v>
      </x:c>
      <x:c r="Q192" s="30" t="n">
        <x:f>MIN(100,ROUND(LOG10(D192+1)*18,0))</x:f>
        <x:v>51</x:v>
      </x:c>
      <x:c r="R192" s="30" t="n">
        <x:f>MIN(100,ROUND(E192*12,0))</x:f>
        <x:v>9</x:v>
      </x:c>
      <x:c r="S192" s="30" t="n">
        <x:f>IF(H192="No",0,ROUND(P192*0.45+Q192*0.30+R192*0.15+IF(M192="Easy",10,IF(M192="Medium",6,2))+IF(N192="High",5,IF(N192="Medium",3,0)),1))</x:f>
        <x:v>0</x:v>
      </x:c>
      <x:c r="T192" s="14" t="str">
        <x:f>IF(H192="No","Exclude",IF(S192&gt;=70,"Priority 1",IF(S192&gt;=55,"Priority 2",IF(S192&gt;=40,"Priority 3","Low priority"))))</x:f>
        <x:v>Exclude</x:v>
      </x:c>
    </x:row>
    <x:row r="193">
      <x:c r="A193" s="14" t="n">
        <x:v>192</x:v>
      </x:c>
      <x:c r="B193" s="18" t="str">
        <x:v>calculator keyboard</x:v>
      </x:c>
      <x:c r="C193" s="18" t="str">
        <x:v>transactional</x:v>
      </x:c>
      <x:c r="D193" s="26" t="n">
        <x:v>590</x:v>
      </x:c>
      <x:c r="E193" s="28" t="n">
        <x:v>0.25</x:v>
      </x:c>
      <x:c r="F193" s="14" t="n">
        <x:v>40</x:v>
      </x:c>
      <x:c r="G193" s="14" t="n">
        <x:v>31</x:v>
      </x:c>
      <x:c r="H193" s="14" t="str">
        <x:v>No</x:v>
      </x:c>
      <x:c r="I193" s="18" t="str">
        <x:v>App/product/brand/navigation/media intent rather than a calculation</x:v>
      </x:c>
      <x:c r="J193" s="18" t="str">
        <x:v>Excluded / Non-calculator</x:v>
      </x:c>
      <x:c r="K193" s="18" t="str"/>
      <x:c r="L193" s="18" t="n">
        <x:v>0</x:v>
      </x:c>
      <x:c r="M193" s="18" t="str"/>
      <x:c r="N193" s="18" t="str"/>
      <x:c r="O193" s="18" t="str"/>
      <x:c r="P193" s="30" t="n">
        <x:f>MAX(0,100-G193)</x:f>
        <x:v>69</x:v>
      </x:c>
      <x:c r="Q193" s="30" t="n">
        <x:f>MIN(100,ROUND(LOG10(D193+1)*18,0))</x:f>
        <x:v>50</x:v>
      </x:c>
      <x:c r="R193" s="30" t="n">
        <x:f>MIN(100,ROUND(E193*12,0))</x:f>
        <x:v>3</x:v>
      </x:c>
      <x:c r="S193" s="30" t="n">
        <x:f>IF(H193="No",0,ROUND(P193*0.45+Q193*0.30+R193*0.15+IF(M193="Easy",10,IF(M193="Medium",6,2))+IF(N193="High",5,IF(N193="Medium",3,0)),1))</x:f>
        <x:v>0</x:v>
      </x:c>
      <x:c r="T193" s="14" t="str">
        <x:f>IF(H193="No","Exclude",IF(S193&gt;=70,"Priority 1",IF(S193&gt;=55,"Priority 2",IF(S193&gt;=40,"Priority 3","Low priority"))))</x:f>
        <x:v>Exclude</x:v>
      </x:c>
    </x:row>
    <x:row r="194">
      <x:c r="A194" s="14" t="n">
        <x:v>193</x:v>
      </x:c>
      <x:c r="B194" s="18" t="str">
        <x:v>calculator plus</x:v>
      </x:c>
      <x:c r="C194" s="18" t="str">
        <x:v>transactional</x:v>
      </x:c>
      <x:c r="D194" s="26" t="n">
        <x:v>480</x:v>
      </x:c>
      <x:c r="E194" s="28" t="n">
        <x:v>1.81</x:v>
      </x:c>
      <x:c r="F194" s="14" t="n">
        <x:v>2</x:v>
      </x:c>
      <x:c r="G194" s="14" t="n">
        <x:v>31</x:v>
      </x:c>
      <x:c r="H194" s="14" t="str">
        <x:v>Maybe</x:v>
      </x:c>
      <x:c r="I194" s="18" t="str">
        <x:v>Insufficiently specific; requires SERP validation before development</x:v>
      </x:c>
      <x:c r="J194" s="18" t="str">
        <x:v>General / Other</x:v>
      </x:c>
      <x:c r="K194" s="18" t="str">
        <x:v>Plus calculator</x:v>
      </x:c>
      <x:c r="L194" s="18" t="n">
        <x:v>1</x:v>
      </x:c>
      <x:c r="M194" s="18" t="str">
        <x:v>Easy</x:v>
      </x:c>
      <x:c r="N194" s="18" t="str">
        <x:v>Medium</x:v>
      </x:c>
      <x:c r="O194" s="18" t="str">
        <x:v>Ads</x:v>
      </x:c>
      <x:c r="P194" s="30" t="n">
        <x:f>MAX(0,100-G194)</x:f>
        <x:v>69</x:v>
      </x:c>
      <x:c r="Q194" s="30" t="n">
        <x:f>MIN(100,ROUND(LOG10(D194+1)*18,0))</x:f>
        <x:v>48</x:v>
      </x:c>
      <x:c r="R194" s="30" t="n">
        <x:f>MIN(100,ROUND(E194*12,0))</x:f>
        <x:v>22</x:v>
      </x:c>
      <x:c r="S194" s="30" t="n">
        <x:f>IF(H194="No",0,ROUND(P194*0.45+Q194*0.30+R194*0.15+IF(M194="Easy",10,IF(M194="Medium",6,2))+IF(N194="High",5,IF(N194="Medium",3,0)),1))</x:f>
        <x:v>61.8</x:v>
      </x:c>
      <x:c r="T194" s="14" t="str">
        <x:f>IF(H194="No","Exclude",IF(S194&gt;=70,"Priority 1",IF(S194&gt;=55,"Priority 2",IF(S194&gt;=40,"Priority 3","Low priority"))))</x:f>
        <x:v>Priority 2</x:v>
      </x:c>
    </x:row>
    <x:row r="195">
      <x:c r="A195" s="14" t="n">
        <x:v>194</x:v>
      </x:c>
      <x:c r="B195" s="18" t="str">
        <x:v>calculator magic trick</x:v>
      </x:c>
      <x:c r="C195" s="18" t="str">
        <x:v>informational</x:v>
      </x:c>
      <x:c r="D195" s="26" t="n">
        <x:v>320</x:v>
      </x:c>
      <x:c r="E195" s="28" t="n">
        <x:v>0</x:v>
      </x:c>
      <x:c r="F195" s="14" t="n">
        <x:v>1</x:v>
      </x:c>
      <x:c r="G195" s="14" t="n">
        <x:v>31</x:v>
      </x:c>
      <x:c r="H195" s="14" t="str">
        <x:v>No</x:v>
      </x:c>
      <x:c r="I195" s="18" t="str">
        <x:v>App/product/brand/navigation/media intent rather than a calculation</x:v>
      </x:c>
      <x:c r="J195" s="18" t="str">
        <x:v>Excluded / Non-calculator</x:v>
      </x:c>
      <x:c r="K195" s="18" t="str"/>
      <x:c r="L195" s="18" t="n">
        <x:v>0</x:v>
      </x:c>
      <x:c r="M195" s="18" t="str"/>
      <x:c r="N195" s="18" t="str"/>
      <x:c r="O195" s="18" t="str"/>
      <x:c r="P195" s="30" t="n">
        <x:f>MAX(0,100-G195)</x:f>
        <x:v>69</x:v>
      </x:c>
      <x:c r="Q195" s="30" t="n">
        <x:f>MIN(100,ROUND(LOG10(D195+1)*18,0))</x:f>
        <x:v>45</x:v>
      </x:c>
      <x:c r="R195" s="30" t="n">
        <x:f>MIN(100,ROUND(E195*12,0))</x:f>
        <x:v>0</x:v>
      </x:c>
      <x:c r="S195" s="30" t="n">
        <x:f>IF(H195="No",0,ROUND(P195*0.45+Q195*0.30+R195*0.15+IF(M195="Easy",10,IF(M195="Medium",6,2))+IF(N195="High",5,IF(N195="Medium",3,0)),1))</x:f>
        <x:v>0</x:v>
      </x:c>
      <x:c r="T195" s="14" t="str">
        <x:f>IF(H195="No","Exclude",IF(S195&gt;=70,"Priority 1",IF(S195&gt;=55,"Priority 2",IF(S195&gt;=40,"Priority 3","Low priority"))))</x:f>
        <x:v>Exclude</x:v>
      </x:c>
    </x:row>
    <x:row r="196">
      <x:c r="A196" s="14" t="n">
        <x:v>195</x:v>
      </x:c>
      <x:c r="B196" s="18" t="str">
        <x:v>calculator pesos to dollars</x:v>
      </x:c>
      <x:c r="C196" s="18" t="str">
        <x:v>informational</x:v>
      </x:c>
      <x:c r="D196" s="26" t="n">
        <x:v>320</x:v>
      </x:c>
      <x:c r="E196" s="28" t="n">
        <x:v>0.2</x:v>
      </x:c>
      <x:c r="F196" s="14" t="n">
        <x:v>6</x:v>
      </x:c>
      <x:c r="G196" s="14" t="n">
        <x:v>31</x:v>
      </x:c>
      <x:c r="H196" s="14" t="str">
        <x:v>Maybe</x:v>
      </x:c>
      <x:c r="I196" s="18" t="str">
        <x:v>Insufficiently specific; requires SERP validation before development</x:v>
      </x:c>
      <x:c r="J196" s="18" t="str">
        <x:v>General / Other</x:v>
      </x:c>
      <x:c r="K196" s="18" t="str">
        <x:v>Pesos To Dollars calculator</x:v>
      </x:c>
      <x:c r="L196" s="18" t="n">
        <x:v>1</x:v>
      </x:c>
      <x:c r="M196" s="18" t="str">
        <x:v>Easy</x:v>
      </x:c>
      <x:c r="N196" s="18" t="str">
        <x:v>Medium</x:v>
      </x:c>
      <x:c r="O196" s="18" t="str">
        <x:v>Ads</x:v>
      </x:c>
      <x:c r="P196" s="30" t="n">
        <x:f>MAX(0,100-G196)</x:f>
        <x:v>69</x:v>
      </x:c>
      <x:c r="Q196" s="30" t="n">
        <x:f>MIN(100,ROUND(LOG10(D196+1)*18,0))</x:f>
        <x:v>45</x:v>
      </x:c>
      <x:c r="R196" s="30" t="n">
        <x:f>MIN(100,ROUND(E196*12,0))</x:f>
        <x:v>2</x:v>
      </x:c>
      <x:c r="S196" s="30" t="n">
        <x:f>IF(H196="No",0,ROUND(P196*0.45+Q196*0.30+R196*0.15+IF(M196="Easy",10,IF(M196="Medium",6,2))+IF(N196="High",5,IF(N196="Medium",3,0)),1))</x:f>
        <x:v>57.9</x:v>
      </x:c>
      <x:c r="T196" s="14" t="str">
        <x:f>IF(H196="No","Exclude",IF(S196&gt;=70,"Priority 1",IF(S196&gt;=55,"Priority 2",IF(S196&gt;=40,"Priority 3","Low priority"))))</x:f>
        <x:v>Priority 2</x:v>
      </x:c>
    </x:row>
    <x:row r="197">
      <x:c r="A197" s="14" t="n">
        <x:v>196</x:v>
      </x:c>
      <x:c r="B197" s="18" t="str">
        <x:v>calculator e meaning</x:v>
      </x:c>
      <x:c r="C197" s="18" t="str">
        <x:v>informational</x:v>
      </x:c>
      <x:c r="D197" s="26" t="n">
        <x:v>90</x:v>
      </x:c>
      <x:c r="E197" s="28" t="n">
        <x:v>0</x:v>
      </x:c>
      <x:c r="F197" s="14" t="n">
        <x:v>1</x:v>
      </x:c>
      <x:c r="G197" s="14" t="n">
        <x:v>31</x:v>
      </x:c>
      <x:c r="H197" s="14" t="str">
        <x:v>Maybe</x:v>
      </x:c>
      <x:c r="I197" s="18" t="str">
        <x:v>Insufficiently specific; requires SERP validation before development</x:v>
      </x:c>
      <x:c r="J197" s="18" t="str">
        <x:v>General / Other</x:v>
      </x:c>
      <x:c r="K197" s="18" t="str">
        <x:v>E Meaning calculator</x:v>
      </x:c>
      <x:c r="L197" s="18" t="n">
        <x:v>1</x:v>
      </x:c>
      <x:c r="M197" s="18" t="str">
        <x:v>Easy</x:v>
      </x:c>
      <x:c r="N197" s="18" t="str">
        <x:v>Medium</x:v>
      </x:c>
      <x:c r="O197" s="18" t="str">
        <x:v>Ads</x:v>
      </x:c>
      <x:c r="P197" s="30" t="n">
        <x:f>MAX(0,100-G197)</x:f>
        <x:v>69</x:v>
      </x:c>
      <x:c r="Q197" s="30" t="n">
        <x:f>MIN(100,ROUND(LOG10(D197+1)*18,0))</x:f>
        <x:v>35</x:v>
      </x:c>
      <x:c r="R197" s="30" t="n">
        <x:f>MIN(100,ROUND(E197*12,0))</x:f>
        <x:v>0</x:v>
      </x:c>
      <x:c r="S197" s="30" t="n">
        <x:f>IF(H197="No",0,ROUND(P197*0.45+Q197*0.30+R197*0.15+IF(M197="Easy",10,IF(M197="Medium",6,2))+IF(N197="High",5,IF(N197="Medium",3,0)),1))</x:f>
        <x:v>54.6</x:v>
      </x:c>
      <x:c r="T197" s="14" t="str">
        <x:f>IF(H197="No","Exclude",IF(S197&gt;=70,"Priority 1",IF(S197&gt;=55,"Priority 2",IF(S197&gt;=40,"Priority 3","Low priority"))))</x:f>
        <x:v>Priority 3</x:v>
      </x:c>
    </x:row>
    <x:row r="198">
      <x:c r="A198" s="14" t="n">
        <x:v>197</x:v>
      </x:c>
      <x:c r="B198" s="18" t="str">
        <x:v>calculator richard watterson</x:v>
      </x:c>
      <x:c r="C198" s="18" t="str">
        <x:v>informational</x:v>
      </x:c>
      <x:c r="D198" s="26" t="n">
        <x:v>90</x:v>
      </x:c>
      <x:c r="E198" s="28" t="n">
        <x:v>0</x:v>
      </x:c>
      <x:c r="F198" s="14" t="n">
        <x:v>1</x:v>
      </x:c>
      <x:c r="G198" s="14" t="n">
        <x:v>31</x:v>
      </x:c>
      <x:c r="H198" s="14" t="str">
        <x:v>Maybe</x:v>
      </x:c>
      <x:c r="I198" s="18" t="str">
        <x:v>Insufficiently specific; requires SERP validation before development</x:v>
      </x:c>
      <x:c r="J198" s="18" t="str">
        <x:v>General / Other</x:v>
      </x:c>
      <x:c r="K198" s="18" t="str">
        <x:v>Richard Watterson calculator</x:v>
      </x:c>
      <x:c r="L198" s="18" t="n">
        <x:v>1</x:v>
      </x:c>
      <x:c r="M198" s="18" t="str">
        <x:v>Easy</x:v>
      </x:c>
      <x:c r="N198" s="18" t="str">
        <x:v>Medium</x:v>
      </x:c>
      <x:c r="O198" s="18" t="str">
        <x:v>Ads</x:v>
      </x:c>
      <x:c r="P198" s="30" t="n">
        <x:f>MAX(0,100-G198)</x:f>
        <x:v>69</x:v>
      </x:c>
      <x:c r="Q198" s="30" t="n">
        <x:f>MIN(100,ROUND(LOG10(D198+1)*18,0))</x:f>
        <x:v>35</x:v>
      </x:c>
      <x:c r="R198" s="30" t="n">
        <x:f>MIN(100,ROUND(E198*12,0))</x:f>
        <x:v>0</x:v>
      </x:c>
      <x:c r="S198" s="30" t="n">
        <x:f>IF(H198="No",0,ROUND(P198*0.45+Q198*0.30+R198*0.15+IF(M198="Easy",10,IF(M198="Medium",6,2))+IF(N198="High",5,IF(N198="Medium",3,0)),1))</x:f>
        <x:v>54.6</x:v>
      </x:c>
      <x:c r="T198" s="14" t="str">
        <x:f>IF(H198="No","Exclude",IF(S198&gt;=70,"Priority 1",IF(S198&gt;=55,"Priority 2",IF(S198&gt;=40,"Priority 3","Low priority"))))</x:f>
        <x:v>Priority 3</x:v>
      </x:c>
    </x:row>
    <x:row r="199">
      <x:c r="A199" s="14" t="n">
        <x:v>198</x:v>
      </x:c>
      <x:c r="B199" s="18" t="str">
        <x:v>calculator 83</x:v>
      </x:c>
      <x:c r="C199" s="18" t="str">
        <x:v>transactional</x:v>
      </x:c>
      <x:c r="D199" s="26" t="n">
        <x:v>70</x:v>
      </x:c>
      <x:c r="E199" s="28" t="n">
        <x:v>0</x:v>
      </x:c>
      <x:c r="F199" s="14" t="n">
        <x:v>24</x:v>
      </x:c>
      <x:c r="G199" s="14" t="n">
        <x:v>31</x:v>
      </x:c>
      <x:c r="H199" s="14" t="str">
        <x:v>No</x:v>
      </x:c>
      <x:c r="I199" s="18" t="str">
        <x:v>Model/number query, not a distinct web calculator</x:v>
      </x:c>
      <x:c r="J199" s="18" t="str">
        <x:v>Excluded / Non-calculator</x:v>
      </x:c>
      <x:c r="K199" s="18" t="str"/>
      <x:c r="L199" s="18" t="n">
        <x:v>0</x:v>
      </x:c>
      <x:c r="M199" s="18" t="str"/>
      <x:c r="N199" s="18" t="str"/>
      <x:c r="O199" s="18" t="str"/>
      <x:c r="P199" s="30" t="n">
        <x:f>MAX(0,100-G199)</x:f>
        <x:v>69</x:v>
      </x:c>
      <x:c r="Q199" s="30" t="n">
        <x:f>MIN(100,ROUND(LOG10(D199+1)*18,0))</x:f>
        <x:v>33</x:v>
      </x:c>
      <x:c r="R199" s="30" t="n">
        <x:f>MIN(100,ROUND(E199*12,0))</x:f>
        <x:v>0</x:v>
      </x:c>
      <x:c r="S199" s="30" t="n">
        <x:f>IF(H199="No",0,ROUND(P199*0.45+Q199*0.30+R199*0.15+IF(M199="Easy",10,IF(M199="Medium",6,2))+IF(N199="High",5,IF(N199="Medium",3,0)),1))</x:f>
        <x:v>0</x:v>
      </x:c>
      <x:c r="T199" s="14" t="str">
        <x:f>IF(H199="No","Exclude",IF(S199&gt;=70,"Priority 1",IF(S199&gt;=55,"Priority 2",IF(S199&gt;=40,"Priority 3","Low priority"))))</x:f>
        <x:v>Exclude</x:v>
      </x:c>
    </x:row>
    <x:row r="200">
      <x:c r="A200" s="14" t="n">
        <x:v>199</x:v>
      </x:c>
      <x:c r="B200" s="18" t="str">
        <x:v>calculator yards</x:v>
      </x:c>
      <x:c r="C200" s="18" t="str">
        <x:v>navigational</x:v>
      </x:c>
      <x:c r="D200" s="26" t="n">
        <x:v>4400</x:v>
      </x:c>
      <x:c r="E200" s="28" t="n">
        <x:v>1.45</x:v>
      </x:c>
      <x:c r="F200" s="14" t="n">
        <x:v>2</x:v>
      </x:c>
      <x:c r="G200" s="14" t="n">
        <x:v>32</x:v>
      </x:c>
      <x:c r="H200" s="14" t="str">
        <x:v>Maybe</x:v>
      </x:c>
      <x:c r="I200" s="18" t="str">
        <x:v>Insufficiently specific; requires SERP validation before development</x:v>
      </x:c>
      <x:c r="J200" s="18" t="str">
        <x:v>General / Other</x:v>
      </x:c>
      <x:c r="K200" s="18" t="str">
        <x:v>Yards calculator</x:v>
      </x:c>
      <x:c r="L200" s="18" t="n">
        <x:v>1</x:v>
      </x:c>
      <x:c r="M200" s="18" t="str">
        <x:v>Easy</x:v>
      </x:c>
      <x:c r="N200" s="18" t="str">
        <x:v>Medium</x:v>
      </x:c>
      <x:c r="O200" s="18" t="str">
        <x:v>Ads</x:v>
      </x:c>
      <x:c r="P200" s="30" t="n">
        <x:f>MAX(0,100-G200)</x:f>
        <x:v>68</x:v>
      </x:c>
      <x:c r="Q200" s="30" t="n">
        <x:f>MIN(100,ROUND(LOG10(D200+1)*18,0))</x:f>
        <x:v>66</x:v>
      </x:c>
      <x:c r="R200" s="30" t="n">
        <x:f>MIN(100,ROUND(E200*12,0))</x:f>
        <x:v>17</x:v>
      </x:c>
      <x:c r="S200" s="30" t="n">
        <x:f>IF(H200="No",0,ROUND(P200*0.45+Q200*0.30+R200*0.15+IF(M200="Easy",10,IF(M200="Medium",6,2))+IF(N200="High",5,IF(N200="Medium",3,0)),1))</x:f>
        <x:v>66</x:v>
      </x:c>
      <x:c r="T200" s="14" t="str">
        <x:f>IF(H200="No","Exclude",IF(S200&gt;=70,"Priority 1",IF(S200&gt;=55,"Priority 2",IF(S200&gt;=40,"Priority 3","Low priority"))))</x:f>
        <x:v>Priority 2</x:v>
      </x:c>
    </x:row>
    <x:row r="201">
      <x:c r="A201" s="14" t="n">
        <x:v>200</x:v>
      </x:c>
      <x:c r="B201" s="18" t="str">
        <x:v>calculator amazon</x:v>
      </x:c>
      <x:c r="C201" s="18" t="str">
        <x:v>navigational, transactional, informational</x:v>
      </x:c>
      <x:c r="D201" s="26" t="n">
        <x:v>2900</x:v>
      </x:c>
      <x:c r="E201" s="28" t="n">
        <x:v>0.5</x:v>
      </x:c>
      <x:c r="F201" s="14" t="n">
        <x:v>41</x:v>
      </x:c>
      <x:c r="G201" s="14" t="n">
        <x:v>32</x:v>
      </x:c>
      <x:c r="H201" s="14" t="str">
        <x:v>No</x:v>
      </x:c>
      <x:c r="I201" s="18" t="str">
        <x:v>App/product/brand/navigation/media intent rather than a calculation</x:v>
      </x:c>
      <x:c r="J201" s="18" t="str">
        <x:v>Excluded / Non-calculator</x:v>
      </x:c>
      <x:c r="K201" s="18" t="str"/>
      <x:c r="L201" s="18" t="n">
        <x:v>0</x:v>
      </x:c>
      <x:c r="M201" s="18" t="str"/>
      <x:c r="N201" s="18" t="str"/>
      <x:c r="O201" s="18" t="str"/>
      <x:c r="P201" s="30" t="n">
        <x:f>MAX(0,100-G201)</x:f>
        <x:v>68</x:v>
      </x:c>
      <x:c r="Q201" s="30" t="n">
        <x:f>MIN(100,ROUND(LOG10(D201+1)*18,0))</x:f>
        <x:v>62</x:v>
      </x:c>
      <x:c r="R201" s="30" t="n">
        <x:f>MIN(100,ROUND(E201*12,0))</x:f>
        <x:v>6</x:v>
      </x:c>
      <x:c r="S201" s="30" t="n">
        <x:f>IF(H201="No",0,ROUND(P201*0.45+Q201*0.30+R201*0.15+IF(M201="Easy",10,IF(M201="Medium",6,2))+IF(N201="High",5,IF(N201="Medium",3,0)),1))</x:f>
        <x:v>0</x:v>
      </x:c>
      <x:c r="T201" s="14" t="str">
        <x:f>IF(H201="No","Exclude",IF(S201&gt;=70,"Priority 1",IF(S201&gt;=55,"Priority 2",IF(S201&gt;=40,"Priority 3","Low priority"))))</x:f>
        <x:v>Exclude</x:v>
      </x:c>
    </x:row>
    <x:row r="202">
      <x:c r="A202" s="14" t="n">
        <x:v>201</x:v>
      </x:c>
      <x:c r="B202" s="18" t="str">
        <x:v>calculator icon</x:v>
      </x:c>
      <x:c r="C202" s="18" t="str">
        <x:v>informational</x:v>
      </x:c>
      <x:c r="D202" s="26" t="n">
        <x:v>1600</x:v>
      </x:c>
      <x:c r="E202" s="28" t="n">
        <x:v>2.62</x:v>
      </x:c>
      <x:c r="F202" s="14" t="n">
        <x:v>1</x:v>
      </x:c>
      <x:c r="G202" s="14" t="n">
        <x:v>32</x:v>
      </x:c>
      <x:c r="H202" s="14" t="str">
        <x:v>Maybe</x:v>
      </x:c>
      <x:c r="I202" s="18" t="str">
        <x:v>Insufficiently specific; requires SERP validation before development</x:v>
      </x:c>
      <x:c r="J202" s="18" t="str">
        <x:v>General / Other</x:v>
      </x:c>
      <x:c r="K202" s="18" t="str">
        <x:v>Icon calculator</x:v>
      </x:c>
      <x:c r="L202" s="18" t="n">
        <x:v>1</x:v>
      </x:c>
      <x:c r="M202" s="18" t="str">
        <x:v>Easy</x:v>
      </x:c>
      <x:c r="N202" s="18" t="str">
        <x:v>Medium</x:v>
      </x:c>
      <x:c r="O202" s="18" t="str">
        <x:v>Ads</x:v>
      </x:c>
      <x:c r="P202" s="30" t="n">
        <x:f>MAX(0,100-G202)</x:f>
        <x:v>68</x:v>
      </x:c>
      <x:c r="Q202" s="30" t="n">
        <x:f>MIN(100,ROUND(LOG10(D202+1)*18,0))</x:f>
        <x:v>58</x:v>
      </x:c>
      <x:c r="R202" s="30" t="n">
        <x:f>MIN(100,ROUND(E202*12,0))</x:f>
        <x:v>31</x:v>
      </x:c>
      <x:c r="S202" s="30" t="n">
        <x:f>IF(H202="No",0,ROUND(P202*0.45+Q202*0.30+R202*0.15+IF(M202="Easy",10,IF(M202="Medium",6,2))+IF(N202="High",5,IF(N202="Medium",3,0)),1))</x:f>
        <x:v>65.7</x:v>
      </x:c>
      <x:c r="T202" s="14" t="str">
        <x:f>IF(H202="No","Exclude",IF(S202&gt;=70,"Priority 1",IF(S202&gt;=55,"Priority 2",IF(S202&gt;=40,"Priority 3","Low priority"))))</x:f>
        <x:v>Priority 2</x:v>
      </x:c>
    </x:row>
    <x:row r="203">
      <x:c r="A203" s="14" t="n">
        <x:v>202</x:v>
      </x:c>
      <x:c r="B203" s="18" t="str">
        <x:v>calculator tape</x:v>
      </x:c>
      <x:c r="C203" s="18" t="str">
        <x:v>navigational, commercial</x:v>
      </x:c>
      <x:c r="D203" s="26" t="n">
        <x:v>1300</x:v>
      </x:c>
      <x:c r="E203" s="28" t="n">
        <x:v>1.09</x:v>
      </x:c>
      <x:c r="F203" s="14" t="n">
        <x:v>100</x:v>
      </x:c>
      <x:c r="G203" s="14" t="n">
        <x:v>32</x:v>
      </x:c>
      <x:c r="H203" s="14" t="str">
        <x:v>No</x:v>
      </x:c>
      <x:c r="I203" s="18" t="str">
        <x:v>App/product/brand/navigation/media intent rather than a calculation</x:v>
      </x:c>
      <x:c r="J203" s="18" t="str">
        <x:v>Excluded / Non-calculator</x:v>
      </x:c>
      <x:c r="K203" s="18" t="str"/>
      <x:c r="L203" s="18" t="n">
        <x:v>0</x:v>
      </x:c>
      <x:c r="M203" s="18" t="str"/>
      <x:c r="N203" s="18" t="str"/>
      <x:c r="O203" s="18" t="str"/>
      <x:c r="P203" s="30" t="n">
        <x:f>MAX(0,100-G203)</x:f>
        <x:v>68</x:v>
      </x:c>
      <x:c r="Q203" s="30" t="n">
        <x:f>MIN(100,ROUND(LOG10(D203+1)*18,0))</x:f>
        <x:v>56</x:v>
      </x:c>
      <x:c r="R203" s="30" t="n">
        <x:f>MIN(100,ROUND(E203*12,0))</x:f>
        <x:v>13</x:v>
      </x:c>
      <x:c r="S203" s="30" t="n">
        <x:f>IF(H203="No",0,ROUND(P203*0.45+Q203*0.30+R203*0.15+IF(M203="Easy",10,IF(M203="Medium",6,2))+IF(N203="High",5,IF(N203="Medium",3,0)),1))</x:f>
        <x:v>0</x:v>
      </x:c>
      <x:c r="T203" s="14" t="str">
        <x:f>IF(H203="No","Exclude",IF(S203&gt;=70,"Priority 1",IF(S203&gt;=55,"Priority 2",IF(S203&gt;=40,"Priority 3","Low priority"))))</x:f>
        <x:v>Exclude</x:v>
      </x:c>
    </x:row>
    <x:row r="204">
      <x:c r="A204" s="14" t="n">
        <x:v>203</x:v>
      </x:c>
      <x:c r="B204" s="18" t="str">
        <x:v>calculator in degree mode</x:v>
      </x:c>
      <x:c r="C204" s="18" t="str">
        <x:v>informational</x:v>
      </x:c>
      <x:c r="D204" s="26" t="n">
        <x:v>1000</x:v>
      </x:c>
      <x:c r="E204" s="28" t="n">
        <x:v>1.84</x:v>
      </x:c>
      <x:c r="F204" s="14" t="n">
        <x:v>1</x:v>
      </x:c>
      <x:c r="G204" s="14" t="n">
        <x:v>32</x:v>
      </x:c>
      <x:c r="H204" s="14" t="str">
        <x:v>Maybe</x:v>
      </x:c>
      <x:c r="I204" s="18" t="str">
        <x:v>Potential calculator intent, but keyword meaning is broad or ambiguous</x:v>
      </x:c>
      <x:c r="J204" s="18" t="str">
        <x:v>General / Other</x:v>
      </x:c>
      <x:c r="K204" s="18" t="str">
        <x:v>In Degree Mode calculator</x:v>
      </x:c>
      <x:c r="L204" s="18" t="n">
        <x:v>1</x:v>
      </x:c>
      <x:c r="M204" s="18" t="str">
        <x:v>Easy</x:v>
      </x:c>
      <x:c r="N204" s="18" t="str">
        <x:v>Medium</x:v>
      </x:c>
      <x:c r="O204" s="18" t="str">
        <x:v>Ads</x:v>
      </x:c>
      <x:c r="P204" s="30" t="n">
        <x:f>MAX(0,100-G204)</x:f>
        <x:v>68</x:v>
      </x:c>
      <x:c r="Q204" s="30" t="n">
        <x:f>MIN(100,ROUND(LOG10(D204+1)*18,0))</x:f>
        <x:v>54</x:v>
      </x:c>
      <x:c r="R204" s="30" t="n">
        <x:f>MIN(100,ROUND(E204*12,0))</x:f>
        <x:v>22</x:v>
      </x:c>
      <x:c r="S204" s="30" t="n">
        <x:f>IF(H204="No",0,ROUND(P204*0.45+Q204*0.30+R204*0.15+IF(M204="Easy",10,IF(M204="Medium",6,2))+IF(N204="High",5,IF(N204="Medium",3,0)),1))</x:f>
        <x:v>63.1</x:v>
      </x:c>
      <x:c r="T204" s="14" t="str">
        <x:f>IF(H204="No","Exclude",IF(S204&gt;=70,"Priority 1",IF(S204&gt;=55,"Priority 2",IF(S204&gt;=40,"Priority 3","Low priority"))))</x:f>
        <x:v>Priority 2</x:v>
      </x:c>
    </x:row>
    <x:row r="205">
      <x:c r="A205" s="14" t="n">
        <x:v>204</x:v>
      </x:c>
      <x:c r="B205" s="18" t="str">
        <x:v>calculator brands</x:v>
      </x:c>
      <x:c r="C205" s="18" t="str">
        <x:v>informational, navigational</x:v>
      </x:c>
      <x:c r="D205" s="26" t="n">
        <x:v>390</x:v>
      </x:c>
      <x:c r="E205" s="28" t="n">
        <x:v>4.27</x:v>
      </x:c>
      <x:c r="F205" s="14" t="n">
        <x:v>45</x:v>
      </x:c>
      <x:c r="G205" s="14" t="n">
        <x:v>32</x:v>
      </x:c>
      <x:c r="H205" s="14" t="str">
        <x:v>No</x:v>
      </x:c>
      <x:c r="I205" s="18" t="str">
        <x:v>App/product/brand/navigation/media intent rather than a calculation</x:v>
      </x:c>
      <x:c r="J205" s="18" t="str">
        <x:v>Excluded / Non-calculator</x:v>
      </x:c>
      <x:c r="K205" s="18" t="str"/>
      <x:c r="L205" s="18" t="n">
        <x:v>0</x:v>
      </x:c>
      <x:c r="M205" s="18" t="str"/>
      <x:c r="N205" s="18" t="str"/>
      <x:c r="O205" s="18" t="str"/>
      <x:c r="P205" s="30" t="n">
        <x:f>MAX(0,100-G205)</x:f>
        <x:v>68</x:v>
      </x:c>
      <x:c r="Q205" s="30" t="n">
        <x:f>MIN(100,ROUND(LOG10(D205+1)*18,0))</x:f>
        <x:v>47</x:v>
      </x:c>
      <x:c r="R205" s="30" t="n">
        <x:f>MIN(100,ROUND(E205*12,0))</x:f>
        <x:v>51</x:v>
      </x:c>
      <x:c r="S205" s="30" t="n">
        <x:f>IF(H205="No",0,ROUND(P205*0.45+Q205*0.30+R205*0.15+IF(M205="Easy",10,IF(M205="Medium",6,2))+IF(N205="High",5,IF(N205="Medium",3,0)),1))</x:f>
        <x:v>0</x:v>
      </x:c>
      <x:c r="T205" s="14" t="str">
        <x:f>IF(H205="No","Exclude",IF(S205&gt;=70,"Priority 1",IF(S205&gt;=55,"Priority 2",IF(S205&gt;=40,"Priority 3","Low priority"))))</x:f>
        <x:v>Exclude</x:v>
      </x:c>
    </x:row>
    <x:row r="206">
      <x:c r="A206" s="14" t="n">
        <x:v>205</x:v>
      </x:c>
      <x:c r="B206" s="18" t="str">
        <x:v>calculator invented</x:v>
      </x:c>
      <x:c r="C206" s="18" t="str">
        <x:v>informational</x:v>
      </x:c>
      <x:c r="D206" s="26" t="n">
        <x:v>390</x:v>
      </x:c>
      <x:c r="E206" s="28" t="n">
        <x:v>0</x:v>
      </x:c>
      <x:c r="F206" s="14" t="n">
        <x:v>1</x:v>
      </x:c>
      <x:c r="G206" s="14" t="n">
        <x:v>32</x:v>
      </x:c>
      <x:c r="H206" s="14" t="str">
        <x:v>No</x:v>
      </x:c>
      <x:c r="I206" s="18" t="str">
        <x:v>App/product/brand/navigation/media intent rather than a calculation</x:v>
      </x:c>
      <x:c r="J206" s="18" t="str">
        <x:v>Excluded / Non-calculator</x:v>
      </x:c>
      <x:c r="K206" s="18" t="str"/>
      <x:c r="L206" s="18" t="n">
        <x:v>0</x:v>
      </x:c>
      <x:c r="M206" s="18" t="str"/>
      <x:c r="N206" s="18" t="str"/>
      <x:c r="O206" s="18" t="str"/>
      <x:c r="P206" s="30" t="n">
        <x:f>MAX(0,100-G206)</x:f>
        <x:v>68</x:v>
      </x:c>
      <x:c r="Q206" s="30" t="n">
        <x:f>MIN(100,ROUND(LOG10(D206+1)*18,0))</x:f>
        <x:v>47</x:v>
      </x:c>
      <x:c r="R206" s="30" t="n">
        <x:f>MIN(100,ROUND(E206*12,0))</x:f>
        <x:v>0</x:v>
      </x:c>
      <x:c r="S206" s="30" t="n">
        <x:f>IF(H206="No",0,ROUND(P206*0.45+Q206*0.30+R206*0.15+IF(M206="Easy",10,IF(M206="Medium",6,2))+IF(N206="High",5,IF(N206="Medium",3,0)),1))</x:f>
        <x:v>0</x:v>
      </x:c>
      <x:c r="T206" s="14" t="str">
        <x:f>IF(H206="No","Exclude",IF(S206&gt;=70,"Priority 1",IF(S206&gt;=55,"Priority 2",IF(S206&gt;=40,"Priority 3","Low priority"))))</x:f>
        <x:v>Exclude</x:v>
      </x:c>
    </x:row>
    <x:row r="207">
      <x:c r="A207" s="14" t="n">
        <x:v>206</x:v>
      </x:c>
      <x:c r="B207" s="18" t="str">
        <x:v>calculator 81</x:v>
      </x:c>
      <x:c r="C207" s="18" t="str">
        <x:v>transactional, informational</x:v>
      </x:c>
      <x:c r="D207" s="26" t="n">
        <x:v>210</x:v>
      </x:c>
      <x:c r="E207" s="28" t="n">
        <x:v>0</x:v>
      </x:c>
      <x:c r="F207" s="14" t="n">
        <x:v>1</x:v>
      </x:c>
      <x:c r="G207" s="14" t="n">
        <x:v>32</x:v>
      </x:c>
      <x:c r="H207" s="14" t="str">
        <x:v>No</x:v>
      </x:c>
      <x:c r="I207" s="18" t="str">
        <x:v>Model/number query, not a distinct web calculator</x:v>
      </x:c>
      <x:c r="J207" s="18" t="str">
        <x:v>Excluded / Non-calculator</x:v>
      </x:c>
      <x:c r="K207" s="18" t="str"/>
      <x:c r="L207" s="18" t="n">
        <x:v>0</x:v>
      </x:c>
      <x:c r="M207" s="18" t="str"/>
      <x:c r="N207" s="18" t="str"/>
      <x:c r="O207" s="18" t="str"/>
      <x:c r="P207" s="30" t="n">
        <x:f>MAX(0,100-G207)</x:f>
        <x:v>68</x:v>
      </x:c>
      <x:c r="Q207" s="30" t="n">
        <x:f>MIN(100,ROUND(LOG10(D207+1)*18,0))</x:f>
        <x:v>42</x:v>
      </x:c>
      <x:c r="R207" s="30" t="n">
        <x:f>MIN(100,ROUND(E207*12,0))</x:f>
        <x:v>0</x:v>
      </x:c>
      <x:c r="S207" s="30" t="n">
        <x:f>IF(H207="No",0,ROUND(P207*0.45+Q207*0.30+R207*0.15+IF(M207="Easy",10,IF(M207="Medium",6,2))+IF(N207="High",5,IF(N207="Medium",3,0)),1))</x:f>
        <x:v>0</x:v>
      </x:c>
      <x:c r="T207" s="14" t="str">
        <x:f>IF(H207="No","Exclude",IF(S207&gt;=70,"Priority 1",IF(S207&gt;=55,"Priority 2",IF(S207&gt;=40,"Priority 3","Low priority"))))</x:f>
        <x:v>Exclude</x:v>
      </x:c>
    </x:row>
    <x:row r="208">
      <x:c r="A208" s="14" t="n">
        <x:v>207</x:v>
      </x:c>
      <x:c r="B208" s="18" t="str">
        <x:v>calculator lock app</x:v>
      </x:c>
      <x:c r="C208" s="18" t="str">
        <x:v>informational, transactional</x:v>
      </x:c>
      <x:c r="D208" s="26" t="n">
        <x:v>210</x:v>
      </x:c>
      <x:c r="E208" s="28" t="n">
        <x:v>0.94</x:v>
      </x:c>
      <x:c r="F208" s="14" t="n">
        <x:v>2</x:v>
      </x:c>
      <x:c r="G208" s="14" t="n">
        <x:v>32</x:v>
      </x:c>
      <x:c r="H208" s="14" t="str">
        <x:v>No</x:v>
      </x:c>
      <x:c r="I208" s="18" t="str">
        <x:v>App/product/brand/navigation/media intent rather than a calculation</x:v>
      </x:c>
      <x:c r="J208" s="18" t="str">
        <x:v>Excluded / Non-calculator</x:v>
      </x:c>
      <x:c r="K208" s="18" t="str"/>
      <x:c r="L208" s="18" t="n">
        <x:v>0</x:v>
      </x:c>
      <x:c r="M208" s="18" t="str"/>
      <x:c r="N208" s="18" t="str"/>
      <x:c r="O208" s="18" t="str"/>
      <x:c r="P208" s="30" t="n">
        <x:f>MAX(0,100-G208)</x:f>
        <x:v>68</x:v>
      </x:c>
      <x:c r="Q208" s="30" t="n">
        <x:f>MIN(100,ROUND(LOG10(D208+1)*18,0))</x:f>
        <x:v>42</x:v>
      </x:c>
      <x:c r="R208" s="30" t="n">
        <x:f>MIN(100,ROUND(E208*12,0))</x:f>
        <x:v>11</x:v>
      </x:c>
      <x:c r="S208" s="30" t="n">
        <x:f>IF(H208="No",0,ROUND(P208*0.45+Q208*0.30+R208*0.15+IF(M208="Easy",10,IF(M208="Medium",6,2))+IF(N208="High",5,IF(N208="Medium",3,0)),1))</x:f>
        <x:v>0</x:v>
      </x:c>
      <x:c r="T208" s="14" t="str">
        <x:f>IF(H208="No","Exclude",IF(S208&gt;=70,"Priority 1",IF(S208&gt;=55,"Priority 2",IF(S208&gt;=40,"Priority 3","Low priority"))))</x:f>
        <x:v>Exclude</x:v>
      </x:c>
    </x:row>
    <x:row r="209">
      <x:c r="A209" s="14" t="n">
        <x:v>208</x:v>
      </x:c>
      <x:c r="B209" s="18" t="str">
        <x:v>calculator 30xs</x:v>
      </x:c>
      <x:c r="C209" s="18" t="str">
        <x:v>transactional</x:v>
      </x:c>
      <x:c r="D209" s="26" t="n">
        <x:v>170</x:v>
      </x:c>
      <x:c r="E209" s="28" t="n">
        <x:v>0.52</x:v>
      </x:c>
      <x:c r="F209" s="14" t="n">
        <x:v>80</x:v>
      </x:c>
      <x:c r="G209" s="14" t="n">
        <x:v>32</x:v>
      </x:c>
      <x:c r="H209" s="14" t="str">
        <x:v>No</x:v>
      </x:c>
      <x:c r="I209" s="18" t="str">
        <x:v>App/product/brand/navigation/media intent rather than a calculation</x:v>
      </x:c>
      <x:c r="J209" s="18" t="str">
        <x:v>Excluded / Non-calculator</x:v>
      </x:c>
      <x:c r="K209" s="18" t="str"/>
      <x:c r="L209" s="18" t="n">
        <x:v>0</x:v>
      </x:c>
      <x:c r="M209" s="18" t="str"/>
      <x:c r="N209" s="18" t="str"/>
      <x:c r="O209" s="18" t="str"/>
      <x:c r="P209" s="30" t="n">
        <x:f>MAX(0,100-G209)</x:f>
        <x:v>68</x:v>
      </x:c>
      <x:c r="Q209" s="30" t="n">
        <x:f>MIN(100,ROUND(LOG10(D209+1)*18,0))</x:f>
        <x:v>40</x:v>
      </x:c>
      <x:c r="R209" s="30" t="n">
        <x:f>MIN(100,ROUND(E209*12,0))</x:f>
        <x:v>6</x:v>
      </x:c>
      <x:c r="S209" s="30" t="n">
        <x:f>IF(H209="No",0,ROUND(P209*0.45+Q209*0.30+R209*0.15+IF(M209="Easy",10,IF(M209="Medium",6,2))+IF(N209="High",5,IF(N209="Medium",3,0)),1))</x:f>
        <x:v>0</x:v>
      </x:c>
      <x:c r="T209" s="14" t="str">
        <x:f>IF(H209="No","Exclude",IF(S209&gt;=70,"Priority 1",IF(S209&gt;=55,"Priority 2",IF(S209&gt;=40,"Priority 3","Low priority"))))</x:f>
        <x:v>Exclude</x:v>
      </x:c>
    </x:row>
    <x:row r="210">
      <x:c r="A210" s="14" t="n">
        <x:v>209</x:v>
      </x:c>
      <x:c r="B210" s="18" t="str">
        <x:v>calculator 30</x:v>
      </x:c>
      <x:c r="C210" s="18" t="str">
        <x:v>transactional</x:v>
      </x:c>
      <x:c r="D210" s="26" t="n">
        <x:v>90</x:v>
      </x:c>
      <x:c r="E210" s="28" t="n">
        <x:v>0.27</x:v>
      </x:c>
      <x:c r="F210" s="14" t="n">
        <x:v>33</x:v>
      </x:c>
      <x:c r="G210" s="14" t="n">
        <x:v>32</x:v>
      </x:c>
      <x:c r="H210" s="14" t="str">
        <x:v>No</x:v>
      </x:c>
      <x:c r="I210" s="18" t="str">
        <x:v>Model/number query, not a distinct web calculator</x:v>
      </x:c>
      <x:c r="J210" s="18" t="str">
        <x:v>Excluded / Non-calculator</x:v>
      </x:c>
      <x:c r="K210" s="18" t="str"/>
      <x:c r="L210" s="18" t="n">
        <x:v>0</x:v>
      </x:c>
      <x:c r="M210" s="18" t="str"/>
      <x:c r="N210" s="18" t="str"/>
      <x:c r="O210" s="18" t="str"/>
      <x:c r="P210" s="30" t="n">
        <x:f>MAX(0,100-G210)</x:f>
        <x:v>68</x:v>
      </x:c>
      <x:c r="Q210" s="30" t="n">
        <x:f>MIN(100,ROUND(LOG10(D210+1)*18,0))</x:f>
        <x:v>35</x:v>
      </x:c>
      <x:c r="R210" s="30" t="n">
        <x:f>MIN(100,ROUND(E210*12,0))</x:f>
        <x:v>3</x:v>
      </x:c>
      <x:c r="S210" s="30" t="n">
        <x:f>IF(H210="No",0,ROUND(P210*0.45+Q210*0.30+R210*0.15+IF(M210="Easy",10,IF(M210="Medium",6,2))+IF(N210="High",5,IF(N210="Medium",3,0)),1))</x:f>
        <x:v>0</x:v>
      </x:c>
      <x:c r="T210" s="14" t="str">
        <x:f>IF(H210="No","Exclude",IF(S210&gt;=70,"Priority 1",IF(S210&gt;=55,"Priority 2",IF(S210&gt;=40,"Priority 3","Low priority"))))</x:f>
        <x:v>Exclude</x:v>
      </x:c>
    </x:row>
    <x:row r="211">
      <x:c r="A211" s="14" t="n">
        <x:v>210</x:v>
      </x:c>
      <x:c r="B211" s="18" t="str">
        <x:v>calculator you can play games on</x:v>
      </x:c>
      <x:c r="C211" s="18" t="str">
        <x:v>informational</x:v>
      </x:c>
      <x:c r="D211" s="26" t="n">
        <x:v>90</x:v>
      </x:c>
      <x:c r="E211" s="28" t="n">
        <x:v>0</x:v>
      </x:c>
      <x:c r="F211" s="14" t="n">
        <x:v>45</x:v>
      </x:c>
      <x:c r="G211" s="14" t="n">
        <x:v>32</x:v>
      </x:c>
      <x:c r="H211" s="14" t="str">
        <x:v>No</x:v>
      </x:c>
      <x:c r="I211" s="18" t="str">
        <x:v>App/product/brand/navigation/media intent rather than a calculation</x:v>
      </x:c>
      <x:c r="J211" s="18" t="str">
        <x:v>Excluded / Non-calculator</x:v>
      </x:c>
      <x:c r="K211" s="18" t="str"/>
      <x:c r="L211" s="18" t="n">
        <x:v>0</x:v>
      </x:c>
      <x:c r="M211" s="18" t="str"/>
      <x:c r="N211" s="18" t="str"/>
      <x:c r="O211" s="18" t="str"/>
      <x:c r="P211" s="30" t="n">
        <x:f>MAX(0,100-G211)</x:f>
        <x:v>68</x:v>
      </x:c>
      <x:c r="Q211" s="30" t="n">
        <x:f>MIN(100,ROUND(LOG10(D211+1)*18,0))</x:f>
        <x:v>35</x:v>
      </x:c>
      <x:c r="R211" s="30" t="n">
        <x:f>MIN(100,ROUND(E211*12,0))</x:f>
        <x:v>0</x:v>
      </x:c>
      <x:c r="S211" s="30" t="n">
        <x:f>IF(H211="No",0,ROUND(P211*0.45+Q211*0.30+R211*0.15+IF(M211="Easy",10,IF(M211="Medium",6,2))+IF(N211="High",5,IF(N211="Medium",3,0)),1))</x:f>
        <x:v>0</x:v>
      </x:c>
      <x:c r="T211" s="14" t="str">
        <x:f>IF(H211="No","Exclude",IF(S211&gt;=70,"Priority 1",IF(S211&gt;=55,"Priority 2",IF(S211&gt;=40,"Priority 3","Low priority"))))</x:f>
        <x:v>Exclude</x:v>
      </x:c>
    </x:row>
    <x:row r="212">
      <x:c r="A212" s="14" t="n">
        <x:v>211</x:v>
      </x:c>
      <x:c r="B212" s="18" t="str">
        <x:v>calculator soup</x:v>
      </x:c>
      <x:c r="C212" s="18" t="str">
        <x:v>informational</x:v>
      </x:c>
      <x:c r="D212" s="26" t="n">
        <x:v>40500</x:v>
      </x:c>
      <x:c r="E212" s="28" t="n">
        <x:v>0</x:v>
      </x:c>
      <x:c r="F212" s="14" t="n">
        <x:v>1</x:v>
      </x:c>
      <x:c r="G212" s="14" t="n">
        <x:v>33</x:v>
      </x:c>
      <x:c r="H212" s="14" t="str">
        <x:v>No</x:v>
      </x:c>
      <x:c r="I212" s="18" t="str">
        <x:v>App/product/brand/navigation/media intent rather than a calculation</x:v>
      </x:c>
      <x:c r="J212" s="18" t="str">
        <x:v>Excluded / Non-calculator</x:v>
      </x:c>
      <x:c r="K212" s="18" t="str"/>
      <x:c r="L212" s="18" t="n">
        <x:v>0</x:v>
      </x:c>
      <x:c r="M212" s="18" t="str"/>
      <x:c r="N212" s="18" t="str"/>
      <x:c r="O212" s="18" t="str"/>
      <x:c r="P212" s="30" t="n">
        <x:f>MAX(0,100-G212)</x:f>
        <x:v>67</x:v>
      </x:c>
      <x:c r="Q212" s="30" t="n">
        <x:f>MIN(100,ROUND(LOG10(D212+1)*18,0))</x:f>
        <x:v>83</x:v>
      </x:c>
      <x:c r="R212" s="30" t="n">
        <x:f>MIN(100,ROUND(E212*12,0))</x:f>
        <x:v>0</x:v>
      </x:c>
      <x:c r="S212" s="30" t="n">
        <x:f>IF(H212="No",0,ROUND(P212*0.45+Q212*0.30+R212*0.15+IF(M212="Easy",10,IF(M212="Medium",6,2))+IF(N212="High",5,IF(N212="Medium",3,0)),1))</x:f>
        <x:v>0</x:v>
      </x:c>
      <x:c r="T212" s="14" t="str">
        <x:f>IF(H212="No","Exclude",IF(S212&gt;=70,"Priority 1",IF(S212&gt;=55,"Priority 2",IF(S212&gt;=40,"Priority 3","Low priority"))))</x:f>
        <x:v>Exclude</x:v>
      </x:c>
    </x:row>
    <x:row r="213">
      <x:c r="A213" s="14" t="n">
        <x:v>212</x:v>
      </x:c>
      <x:c r="B213" s="18" t="str">
        <x:v>calculator qtc</x:v>
      </x:c>
      <x:c r="C213" s="18" t="str">
        <x:v>informational, transactional</x:v>
      </x:c>
      <x:c r="D213" s="26" t="n">
        <x:v>8100</x:v>
      </x:c>
      <x:c r="E213" s="28" t="n">
        <x:v>7.58</x:v>
      </x:c>
      <x:c r="F213" s="14" t="n">
        <x:v>1</x:v>
      </x:c>
      <x:c r="G213" s="14" t="n">
        <x:v>33</x:v>
      </x:c>
      <x:c r="H213" s="14" t="str">
        <x:v>No</x:v>
      </x:c>
      <x:c r="I213" s="18" t="str">
        <x:v>App/product/brand/navigation/media intent rather than a calculation</x:v>
      </x:c>
      <x:c r="J213" s="18" t="str">
        <x:v>Excluded / Non-calculator</x:v>
      </x:c>
      <x:c r="K213" s="18" t="str"/>
      <x:c r="L213" s="18" t="n">
        <x:v>0</x:v>
      </x:c>
      <x:c r="M213" s="18" t="str"/>
      <x:c r="N213" s="18" t="str"/>
      <x:c r="O213" s="18" t="str"/>
      <x:c r="P213" s="30" t="n">
        <x:f>MAX(0,100-G213)</x:f>
        <x:v>67</x:v>
      </x:c>
      <x:c r="Q213" s="30" t="n">
        <x:f>MIN(100,ROUND(LOG10(D213+1)*18,0))</x:f>
        <x:v>70</x:v>
      </x:c>
      <x:c r="R213" s="30" t="n">
        <x:f>MIN(100,ROUND(E213*12,0))</x:f>
        <x:v>91</x:v>
      </x:c>
      <x:c r="S213" s="30" t="n">
        <x:f>IF(H213="No",0,ROUND(P213*0.45+Q213*0.30+R213*0.15+IF(M213="Easy",10,IF(M213="Medium",6,2))+IF(N213="High",5,IF(N213="Medium",3,0)),1))</x:f>
        <x:v>0</x:v>
      </x:c>
      <x:c r="T213" s="14" t="str">
        <x:f>IF(H213="No","Exclude",IF(S213&gt;=70,"Priority 1",IF(S213&gt;=55,"Priority 2",IF(S213&gt;=40,"Priority 3","Low priority"))))</x:f>
        <x:v>Exclude</x:v>
      </x:c>
    </x:row>
    <x:row r="214">
      <x:c r="A214" s="14" t="n">
        <x:v>213</x:v>
      </x:c>
      <x:c r="B214" s="18" t="str">
        <x:v>calculator 10 key</x:v>
      </x:c>
      <x:c r="C214" s="18" t="str">
        <x:v>transactional</x:v>
      </x:c>
      <x:c r="D214" s="26" t="n">
        <x:v>2900</x:v>
      </x:c>
      <x:c r="E214" s="28" t="n">
        <x:v>0.54</x:v>
      </x:c>
      <x:c r="F214" s="14" t="n">
        <x:v>99</x:v>
      </x:c>
      <x:c r="G214" s="14" t="n">
        <x:v>33</x:v>
      </x:c>
      <x:c r="H214" s="14" t="str">
        <x:v>Maybe</x:v>
      </x:c>
      <x:c r="I214" s="18" t="str">
        <x:v>Insufficiently specific; requires SERP validation before development</x:v>
      </x:c>
      <x:c r="J214" s="18" t="str">
        <x:v>General / Other</x:v>
      </x:c>
      <x:c r="K214" s="18" t="str">
        <x:v>10 Key calculator</x:v>
      </x:c>
      <x:c r="L214" s="18" t="n">
        <x:v>1</x:v>
      </x:c>
      <x:c r="M214" s="18" t="str">
        <x:v>Easy</x:v>
      </x:c>
      <x:c r="N214" s="18" t="str">
        <x:v>Medium</x:v>
      </x:c>
      <x:c r="O214" s="18" t="str">
        <x:v>Ads</x:v>
      </x:c>
      <x:c r="P214" s="30" t="n">
        <x:f>MAX(0,100-G214)</x:f>
        <x:v>67</x:v>
      </x:c>
      <x:c r="Q214" s="30" t="n">
        <x:f>MIN(100,ROUND(LOG10(D214+1)*18,0))</x:f>
        <x:v>62</x:v>
      </x:c>
      <x:c r="R214" s="30" t="n">
        <x:f>MIN(100,ROUND(E214*12,0))</x:f>
        <x:v>6</x:v>
      </x:c>
      <x:c r="S214" s="30" t="n">
        <x:f>IF(H214="No",0,ROUND(P214*0.45+Q214*0.30+R214*0.15+IF(M214="Easy",10,IF(M214="Medium",6,2))+IF(N214="High",5,IF(N214="Medium",3,0)),1))</x:f>
        <x:v>62.7</x:v>
      </x:c>
      <x:c r="T214" s="14" t="str">
        <x:f>IF(H214="No","Exclude",IF(S214&gt;=70,"Priority 1",IF(S214&gt;=55,"Priority 2",IF(S214&gt;=40,"Priority 3","Low priority"))))</x:f>
        <x:v>Priority 2</x:v>
      </x:c>
    </x:row>
    <x:row r="215">
      <x:c r="A215" s="14" t="n">
        <x:v>214</x:v>
      </x:c>
      <x:c r="B215" s="18" t="str">
        <x:v>calculator plus app</x:v>
      </x:c>
      <x:c r="C215" s="18" t="str">
        <x:v>informational, navigational, transactional</x:v>
      </x:c>
      <x:c r="D215" s="26" t="n">
        <x:v>1600</x:v>
      </x:c>
      <x:c r="E215" s="28" t="n">
        <x:v>1.69</x:v>
      </x:c>
      <x:c r="F215" s="14" t="n">
        <x:v>4</x:v>
      </x:c>
      <x:c r="G215" s="14" t="n">
        <x:v>33</x:v>
      </x:c>
      <x:c r="H215" s="14" t="str">
        <x:v>No</x:v>
      </x:c>
      <x:c r="I215" s="18" t="str">
        <x:v>App/product/brand/navigation/media intent rather than a calculation</x:v>
      </x:c>
      <x:c r="J215" s="18" t="str">
        <x:v>Excluded / Non-calculator</x:v>
      </x:c>
      <x:c r="K215" s="18" t="str"/>
      <x:c r="L215" s="18" t="n">
        <x:v>0</x:v>
      </x:c>
      <x:c r="M215" s="18" t="str"/>
      <x:c r="N215" s="18" t="str"/>
      <x:c r="O215" s="18" t="str"/>
      <x:c r="P215" s="30" t="n">
        <x:f>MAX(0,100-G215)</x:f>
        <x:v>67</x:v>
      </x:c>
      <x:c r="Q215" s="30" t="n">
        <x:f>MIN(100,ROUND(LOG10(D215+1)*18,0))</x:f>
        <x:v>58</x:v>
      </x:c>
      <x:c r="R215" s="30" t="n">
        <x:f>MIN(100,ROUND(E215*12,0))</x:f>
        <x:v>20</x:v>
      </x:c>
      <x:c r="S215" s="30" t="n">
        <x:f>IF(H215="No",0,ROUND(P215*0.45+Q215*0.30+R215*0.15+IF(M215="Easy",10,IF(M215="Medium",6,2))+IF(N215="High",5,IF(N215="Medium",3,0)),1))</x:f>
        <x:v>0</x:v>
      </x:c>
      <x:c r="T215" s="14" t="str">
        <x:f>IF(H215="No","Exclude",IF(S215&gt;=70,"Priority 1",IF(S215&gt;=55,"Priority 2",IF(S215&gt;=40,"Priority 3","Low priority"))))</x:f>
        <x:v>Exclude</x:v>
      </x:c>
    </x:row>
    <x:row r="216">
      <x:c r="A216" s="14" t="n">
        <x:v>215</x:v>
      </x:c>
      <x:c r="B216" s="18" t="str">
        <x:v>calculator casio</x:v>
      </x:c>
      <x:c r="C216" s="18" t="str">
        <x:v>transactional</x:v>
      </x:c>
      <x:c r="D216" s="26" t="n">
        <x:v>720</x:v>
      </x:c>
      <x:c r="E216" s="28" t="n">
        <x:v>0.24</x:v>
      </x:c>
      <x:c r="F216" s="14" t="n">
        <x:v>89</x:v>
      </x:c>
      <x:c r="G216" s="14" t="n">
        <x:v>33</x:v>
      </x:c>
      <x:c r="H216" s="14" t="str">
        <x:v>No</x:v>
      </x:c>
      <x:c r="I216" s="18" t="str">
        <x:v>App/product/brand/navigation/media intent rather than a calculation</x:v>
      </x:c>
      <x:c r="J216" s="18" t="str">
        <x:v>Excluded / Non-calculator</x:v>
      </x:c>
      <x:c r="K216" s="18" t="str"/>
      <x:c r="L216" s="18" t="n">
        <x:v>0</x:v>
      </x:c>
      <x:c r="M216" s="18" t="str"/>
      <x:c r="N216" s="18" t="str"/>
      <x:c r="O216" s="18" t="str"/>
      <x:c r="P216" s="30" t="n">
        <x:f>MAX(0,100-G216)</x:f>
        <x:v>67</x:v>
      </x:c>
      <x:c r="Q216" s="30" t="n">
        <x:f>MIN(100,ROUND(LOG10(D216+1)*18,0))</x:f>
        <x:v>51</x:v>
      </x:c>
      <x:c r="R216" s="30" t="n">
        <x:f>MIN(100,ROUND(E216*12,0))</x:f>
        <x:v>3</x:v>
      </x:c>
      <x:c r="S216" s="30" t="n">
        <x:f>IF(H216="No",0,ROUND(P216*0.45+Q216*0.30+R216*0.15+IF(M216="Easy",10,IF(M216="Medium",6,2))+IF(N216="High",5,IF(N216="Medium",3,0)),1))</x:f>
        <x:v>0</x:v>
      </x:c>
      <x:c r="T216" s="14" t="str">
        <x:f>IF(H216="No","Exclude",IF(S216&gt;=70,"Priority 1",IF(S216&gt;=55,"Priority 2",IF(S216&gt;=40,"Priority 3","Low priority"))))</x:f>
        <x:v>Exclude</x:v>
      </x:c>
    </x:row>
    <x:row r="217">
      <x:c r="A217" s="14" t="n">
        <x:v>216</x:v>
      </x:c>
      <x:c r="B217" s="18" t="str">
        <x:v>calculator 30xa</x:v>
      </x:c>
      <x:c r="C217" s="18" t="str">
        <x:v>commercial, navigational</x:v>
      </x:c>
      <x:c r="D217" s="26" t="n">
        <x:v>480</x:v>
      </x:c>
      <x:c r="E217" s="28" t="n">
        <x:v>0.41</x:v>
      </x:c>
      <x:c r="F217" s="14" t="n">
        <x:v>73</x:v>
      </x:c>
      <x:c r="G217" s="14" t="n">
        <x:v>33</x:v>
      </x:c>
      <x:c r="H217" s="14" t="str">
        <x:v>No</x:v>
      </x:c>
      <x:c r="I217" s="18" t="str">
        <x:v>App/product/brand/navigation/media intent rather than a calculation</x:v>
      </x:c>
      <x:c r="J217" s="18" t="str">
        <x:v>Excluded / Non-calculator</x:v>
      </x:c>
      <x:c r="K217" s="18" t="str"/>
      <x:c r="L217" s="18" t="n">
        <x:v>0</x:v>
      </x:c>
      <x:c r="M217" s="18" t="str"/>
      <x:c r="N217" s="18" t="str"/>
      <x:c r="O217" s="18" t="str"/>
      <x:c r="P217" s="30" t="n">
        <x:f>MAX(0,100-G217)</x:f>
        <x:v>67</x:v>
      </x:c>
      <x:c r="Q217" s="30" t="n">
        <x:f>MIN(100,ROUND(LOG10(D217+1)*18,0))</x:f>
        <x:v>48</x:v>
      </x:c>
      <x:c r="R217" s="30" t="n">
        <x:f>MIN(100,ROUND(E217*12,0))</x:f>
        <x:v>5</x:v>
      </x:c>
      <x:c r="S217" s="30" t="n">
        <x:f>IF(H217="No",0,ROUND(P217*0.45+Q217*0.30+R217*0.15+IF(M217="Easy",10,IF(M217="Medium",6,2))+IF(N217="High",5,IF(N217="Medium",3,0)),1))</x:f>
        <x:v>0</x:v>
      </x:c>
      <x:c r="T217" s="14" t="str">
        <x:f>IF(H217="No","Exclude",IF(S217&gt;=70,"Priority 1",IF(S217&gt;=55,"Priority 2",IF(S217&gt;=40,"Priority 3","Low priority"))))</x:f>
        <x:v>Exclude</x:v>
      </x:c>
    </x:row>
    <x:row r="218">
      <x:c r="A218" s="14" t="n">
        <x:v>217</x:v>
      </x:c>
      <x:c r="B218" s="18" t="str">
        <x:v>calculator logo</x:v>
      </x:c>
      <x:c r="C218" s="18" t="str">
        <x:v>informational, navigational</x:v>
      </x:c>
      <x:c r="D218" s="26" t="n">
        <x:v>390</x:v>
      </x:c>
      <x:c r="E218" s="28" t="n">
        <x:v>0</x:v>
      </x:c>
      <x:c r="F218" s="14" t="n">
        <x:v>1</x:v>
      </x:c>
      <x:c r="G218" s="14" t="n">
        <x:v>33</x:v>
      </x:c>
      <x:c r="H218" s="14" t="str">
        <x:v>Yes</x:v>
      </x:c>
      <x:c r="I218" s="18" t="str">
        <x:v>Clear calculation, conversion, estimation, or formula intent</x:v>
      </x:c>
      <x:c r="J218" s="18" t="str">
        <x:v>Math &amp; Education</x:v>
      </x:c>
      <x:c r="K218" s="18" t="str">
        <x:v>Logo calculator</x:v>
      </x:c>
      <x:c r="L218" s="18" t="n">
        <x:v>1</x:v>
      </x:c>
      <x:c r="M218" s="18" t="str">
        <x:v>Easy</x:v>
      </x:c>
      <x:c r="N218" s="18" t="str">
        <x:v>Medium</x:v>
      </x:c>
      <x:c r="O218" s="18" t="str">
        <x:v>Ads / EdTech</x:v>
      </x:c>
      <x:c r="P218" s="30" t="n">
        <x:f>MAX(0,100-G218)</x:f>
        <x:v>67</x:v>
      </x:c>
      <x:c r="Q218" s="30" t="n">
        <x:f>MIN(100,ROUND(LOG10(D218+1)*18,0))</x:f>
        <x:v>47</x:v>
      </x:c>
      <x:c r="R218" s="30" t="n">
        <x:f>MIN(100,ROUND(E218*12,0))</x:f>
        <x:v>0</x:v>
      </x:c>
      <x:c r="S218" s="30" t="n">
        <x:f>IF(H218="No",0,ROUND(P218*0.45+Q218*0.30+R218*0.15+IF(M218="Easy",10,IF(M218="Medium",6,2))+IF(N218="High",5,IF(N218="Medium",3,0)),1))</x:f>
        <x:v>57.3</x:v>
      </x:c>
      <x:c r="T218" s="14" t="str">
        <x:f>IF(H218="No","Exclude",IF(S218&gt;=70,"Priority 1",IF(S218&gt;=55,"Priority 2",IF(S218&gt;=40,"Priority 3","Low priority"))))</x:f>
        <x:v>Priority 2</x:v>
      </x:c>
    </x:row>
    <x:row r="219">
      <x:c r="A219" s="14" t="n">
        <x:v>218</x:v>
      </x:c>
      <x:c r="B219" s="18" t="str">
        <x:v>calculator exponent button</x:v>
      </x:c>
      <x:c r="C219" s="18" t="str">
        <x:v>informational</x:v>
      </x:c>
      <x:c r="D219" s="26" t="n">
        <x:v>260</x:v>
      </x:c>
      <x:c r="E219" s="28" t="n">
        <x:v>0.57</x:v>
      </x:c>
      <x:c r="F219" s="14" t="n">
        <x:v>11</x:v>
      </x:c>
      <x:c r="G219" s="14" t="n">
        <x:v>33</x:v>
      </x:c>
      <x:c r="H219" s="14" t="str">
        <x:v>Yes</x:v>
      </x:c>
      <x:c r="I219" s="18" t="str">
        <x:v>Clear calculation, conversion, estimation, or formula intent</x:v>
      </x:c>
      <x:c r="J219" s="18" t="str">
        <x:v>Math &amp; Education</x:v>
      </x:c>
      <x:c r="K219" s="18" t="str">
        <x:v>Exponent Button calculator</x:v>
      </x:c>
      <x:c r="L219" s="18" t="n">
        <x:v>1</x:v>
      </x:c>
      <x:c r="M219" s="18" t="str">
        <x:v>Easy</x:v>
      </x:c>
      <x:c r="N219" s="18" t="str">
        <x:v>Medium</x:v>
      </x:c>
      <x:c r="O219" s="18" t="str">
        <x:v>Ads / EdTech</x:v>
      </x:c>
      <x:c r="P219" s="30" t="n">
        <x:f>MAX(0,100-G219)</x:f>
        <x:v>67</x:v>
      </x:c>
      <x:c r="Q219" s="30" t="n">
        <x:f>MIN(100,ROUND(LOG10(D219+1)*18,0))</x:f>
        <x:v>43</x:v>
      </x:c>
      <x:c r="R219" s="30" t="n">
        <x:f>MIN(100,ROUND(E219*12,0))</x:f>
        <x:v>7</x:v>
      </x:c>
      <x:c r="S219" s="30" t="n">
        <x:f>IF(H219="No",0,ROUND(P219*0.45+Q219*0.30+R219*0.15+IF(M219="Easy",10,IF(M219="Medium",6,2))+IF(N219="High",5,IF(N219="Medium",3,0)),1))</x:f>
        <x:v>57.1</x:v>
      </x:c>
      <x:c r="T219" s="14" t="str">
        <x:f>IF(H219="No","Exclude",IF(S219&gt;=70,"Priority 1",IF(S219&gt;=55,"Priority 2",IF(S219&gt;=40,"Priority 3","Low priority"))))</x:f>
        <x:v>Priority 2</x:v>
      </x:c>
    </x:row>
    <x:row r="220">
      <x:c r="A220" s="14" t="n">
        <x:v>219</x:v>
      </x:c>
      <x:c r="B220" s="18" t="str">
        <x:v>calculator batman</x:v>
      </x:c>
      <x:c r="C220" s="18" t="str">
        <x:v>informational</x:v>
      </x:c>
      <x:c r="D220" s="26" t="n">
        <x:v>210</x:v>
      </x:c>
      <x:c r="E220" s="28" t="n">
        <x:v>0</x:v>
      </x:c>
      <x:c r="F220" s="14" t="n">
        <x:v>1</x:v>
      </x:c>
      <x:c r="G220" s="14" t="n">
        <x:v>33</x:v>
      </x:c>
      <x:c r="H220" s="14" t="str">
        <x:v>No</x:v>
      </x:c>
      <x:c r="I220" s="18" t="str">
        <x:v>App/product/brand/navigation/media intent rather than a calculation</x:v>
      </x:c>
      <x:c r="J220" s="18" t="str">
        <x:v>Excluded / Non-calculator</x:v>
      </x:c>
      <x:c r="K220" s="18" t="str"/>
      <x:c r="L220" s="18" t="n">
        <x:v>0</x:v>
      </x:c>
      <x:c r="M220" s="18" t="str"/>
      <x:c r="N220" s="18" t="str"/>
      <x:c r="O220" s="18" t="str"/>
      <x:c r="P220" s="30" t="n">
        <x:f>MAX(0,100-G220)</x:f>
        <x:v>67</x:v>
      </x:c>
      <x:c r="Q220" s="30" t="n">
        <x:f>MIN(100,ROUND(LOG10(D220+1)*18,0))</x:f>
        <x:v>42</x:v>
      </x:c>
      <x:c r="R220" s="30" t="n">
        <x:f>MIN(100,ROUND(E220*12,0))</x:f>
        <x:v>0</x:v>
      </x:c>
      <x:c r="S220" s="30" t="n">
        <x:f>IF(H220="No",0,ROUND(P220*0.45+Q220*0.30+R220*0.15+IF(M220="Easy",10,IF(M220="Medium",6,2))+IF(N220="High",5,IF(N220="Medium",3,0)),1))</x:f>
        <x:v>0</x:v>
      </x:c>
      <x:c r="T220" s="14" t="str">
        <x:f>IF(H220="No","Exclude",IF(S220&gt;=70,"Priority 1",IF(S220&gt;=55,"Priority 2",IF(S220&gt;=40,"Priority 3","Low priority"))))</x:f>
        <x:v>Exclude</x:v>
      </x:c>
    </x:row>
    <x:row r="221">
      <x:c r="A221" s="14" t="n">
        <x:v>220</x:v>
      </x:c>
      <x:c r="B221" s="18" t="str">
        <x:v>calculator on my phone android</x:v>
      </x:c>
      <x:c r="C221" s="18" t="str">
        <x:v>informational</x:v>
      </x:c>
      <x:c r="D221" s="26" t="n">
        <x:v>140</x:v>
      </x:c>
      <x:c r="E221" s="28" t="n">
        <x:v>1.02</x:v>
      </x:c>
      <x:c r="F221" s="14" t="n">
        <x:v>32</x:v>
      </x:c>
      <x:c r="G221" s="14" t="n">
        <x:v>33</x:v>
      </x:c>
      <x:c r="H221" s="14" t="str">
        <x:v>No</x:v>
      </x:c>
      <x:c r="I221" s="18" t="str">
        <x:v>App/product/brand/navigation/media intent rather than a calculation</x:v>
      </x:c>
      <x:c r="J221" s="18" t="str">
        <x:v>Excluded / Non-calculator</x:v>
      </x:c>
      <x:c r="K221" s="18" t="str"/>
      <x:c r="L221" s="18" t="n">
        <x:v>0</x:v>
      </x:c>
      <x:c r="M221" s="18" t="str"/>
      <x:c r="N221" s="18" t="str"/>
      <x:c r="O221" s="18" t="str"/>
      <x:c r="P221" s="30" t="n">
        <x:f>MAX(0,100-G221)</x:f>
        <x:v>67</x:v>
      </x:c>
      <x:c r="Q221" s="30" t="n">
        <x:f>MIN(100,ROUND(LOG10(D221+1)*18,0))</x:f>
        <x:v>39</x:v>
      </x:c>
      <x:c r="R221" s="30" t="n">
        <x:f>MIN(100,ROUND(E221*12,0))</x:f>
        <x:v>12</x:v>
      </x:c>
      <x:c r="S221" s="30" t="n">
        <x:f>IF(H221="No",0,ROUND(P221*0.45+Q221*0.30+R221*0.15+IF(M221="Easy",10,IF(M221="Medium",6,2))+IF(N221="High",5,IF(N221="Medium",3,0)),1))</x:f>
        <x:v>0</x:v>
      </x:c>
      <x:c r="T221" s="14" t="str">
        <x:f>IF(H221="No","Exclude",IF(S221&gt;=70,"Priority 1",IF(S221&gt;=55,"Priority 2",IF(S221&gt;=40,"Priority 3","Low priority"))))</x:f>
        <x:v>Exclude</x:v>
      </x:c>
    </x:row>
    <x:row r="222">
      <x:c r="A222" s="14" t="n">
        <x:v>221</x:v>
      </x:c>
      <x:c r="B222" s="18" t="str">
        <x:v>calculator locations zombies in spaceland</x:v>
      </x:c>
      <x:c r="C222" s="18" t="str">
        <x:v>navigational, informational</x:v>
      </x:c>
      <x:c r="D222" s="26" t="n">
        <x:v>110</x:v>
      </x:c>
      <x:c r="E222" s="28" t="n">
        <x:v>0</x:v>
      </x:c>
      <x:c r="F222" s="14" t="n">
        <x:v>1</x:v>
      </x:c>
      <x:c r="G222" s="14" t="n">
        <x:v>33</x:v>
      </x:c>
      <x:c r="H222" s="14" t="str">
        <x:v>No</x:v>
      </x:c>
      <x:c r="I222" s="18" t="str">
        <x:v>App/product/brand/navigation/media intent rather than a calculation</x:v>
      </x:c>
      <x:c r="J222" s="18" t="str">
        <x:v>Excluded / Non-calculator</x:v>
      </x:c>
      <x:c r="K222" s="18" t="str"/>
      <x:c r="L222" s="18" t="n">
        <x:v>0</x:v>
      </x:c>
      <x:c r="M222" s="18" t="str"/>
      <x:c r="N222" s="18" t="str"/>
      <x:c r="O222" s="18" t="str"/>
      <x:c r="P222" s="30" t="n">
        <x:f>MAX(0,100-G222)</x:f>
        <x:v>67</x:v>
      </x:c>
      <x:c r="Q222" s="30" t="n">
        <x:f>MIN(100,ROUND(LOG10(D222+1)*18,0))</x:f>
        <x:v>37</x:v>
      </x:c>
      <x:c r="R222" s="30" t="n">
        <x:f>MIN(100,ROUND(E222*12,0))</x:f>
        <x:v>0</x:v>
      </x:c>
      <x:c r="S222" s="30" t="n">
        <x:f>IF(H222="No",0,ROUND(P222*0.45+Q222*0.30+R222*0.15+IF(M222="Easy",10,IF(M222="Medium",6,2))+IF(N222="High",5,IF(N222="Medium",3,0)),1))</x:f>
        <x:v>0</x:v>
      </x:c>
      <x:c r="T222" s="14" t="str">
        <x:f>IF(H222="No","Exclude",IF(S222&gt;=70,"Priority 1",IF(S222&gt;=55,"Priority 2",IF(S222&gt;=40,"Priority 3","Low priority"))))</x:f>
        <x:v>Exclude</x:v>
      </x:c>
    </x:row>
    <x:row r="223">
      <x:c r="A223" s="14" t="n">
        <x:v>222</x:v>
      </x:c>
      <x:c r="B223" s="18" t="str">
        <x:v>calculator 60</x:v>
      </x:c>
      <x:c r="C223" s="18" t="str">
        <x:v>transactional, informational</x:v>
      </x:c>
      <x:c r="D223" s="26" t="n">
        <x:v>90</x:v>
      </x:c>
      <x:c r="E223" s="28" t="n">
        <x:v>0</x:v>
      </x:c>
      <x:c r="F223" s="14" t="n">
        <x:v>1</x:v>
      </x:c>
      <x:c r="G223" s="14" t="n">
        <x:v>33</x:v>
      </x:c>
      <x:c r="H223" s="14" t="str">
        <x:v>No</x:v>
      </x:c>
      <x:c r="I223" s="18" t="str">
        <x:v>Model/number query, not a distinct web calculator</x:v>
      </x:c>
      <x:c r="J223" s="18" t="str">
        <x:v>Excluded / Non-calculator</x:v>
      </x:c>
      <x:c r="K223" s="18" t="str"/>
      <x:c r="L223" s="18" t="n">
        <x:v>0</x:v>
      </x:c>
      <x:c r="M223" s="18" t="str"/>
      <x:c r="N223" s="18" t="str"/>
      <x:c r="O223" s="18" t="str"/>
      <x:c r="P223" s="30" t="n">
        <x:f>MAX(0,100-G223)</x:f>
        <x:v>67</x:v>
      </x:c>
      <x:c r="Q223" s="30" t="n">
        <x:f>MIN(100,ROUND(LOG10(D223+1)*18,0))</x:f>
        <x:v>35</x:v>
      </x:c>
      <x:c r="R223" s="30" t="n">
        <x:f>MIN(100,ROUND(E223*12,0))</x:f>
        <x:v>0</x:v>
      </x:c>
      <x:c r="S223" s="30" t="n">
        <x:f>IF(H223="No",0,ROUND(P223*0.45+Q223*0.30+R223*0.15+IF(M223="Easy",10,IF(M223="Medium",6,2))+IF(N223="High",5,IF(N223="Medium",3,0)),1))</x:f>
        <x:v>0</x:v>
      </x:c>
      <x:c r="T223" s="14" t="str">
        <x:f>IF(H223="No","Exclude",IF(S223&gt;=70,"Priority 1",IF(S223&gt;=55,"Priority 2",IF(S223&gt;=40,"Priority 3","Low priority"))))</x:f>
        <x:v>Exclude</x:v>
      </x:c>
    </x:row>
    <x:row r="224">
      <x:c r="A224" s="14" t="n">
        <x:v>223</x:v>
      </x:c>
      <x:c r="B224" s="18" t="str">
        <x:v>calculator zombies in spaceland</x:v>
      </x:c>
      <x:c r="C224" s="18" t="str">
        <x:v>informational</x:v>
      </x:c>
      <x:c r="D224" s="26" t="n">
        <x:v>90</x:v>
      </x:c>
      <x:c r="E224" s="28" t="n">
        <x:v>0</x:v>
      </x:c>
      <x:c r="F224" s="14" t="n">
        <x:v>1</x:v>
      </x:c>
      <x:c r="G224" s="14" t="n">
        <x:v>33</x:v>
      </x:c>
      <x:c r="H224" s="14" t="str">
        <x:v>No</x:v>
      </x:c>
      <x:c r="I224" s="18" t="str">
        <x:v>App/product/brand/navigation/media intent rather than a calculation</x:v>
      </x:c>
      <x:c r="J224" s="18" t="str">
        <x:v>Excluded / Non-calculator</x:v>
      </x:c>
      <x:c r="K224" s="18" t="str"/>
      <x:c r="L224" s="18" t="n">
        <x:v>0</x:v>
      </x:c>
      <x:c r="M224" s="18" t="str"/>
      <x:c r="N224" s="18" t="str"/>
      <x:c r="O224" s="18" t="str"/>
      <x:c r="P224" s="30" t="n">
        <x:f>MAX(0,100-G224)</x:f>
        <x:v>67</x:v>
      </x:c>
      <x:c r="Q224" s="30" t="n">
        <x:f>MIN(100,ROUND(LOG10(D224+1)*18,0))</x:f>
        <x:v>35</x:v>
      </x:c>
      <x:c r="R224" s="30" t="n">
        <x:f>MIN(100,ROUND(E224*12,0))</x:f>
        <x:v>0</x:v>
      </x:c>
      <x:c r="S224" s="30" t="n">
        <x:f>IF(H224="No",0,ROUND(P224*0.45+Q224*0.30+R224*0.15+IF(M224="Easy",10,IF(M224="Medium",6,2))+IF(N224="High",5,IF(N224="Medium",3,0)),1))</x:f>
        <x:v>0</x:v>
      </x:c>
      <x:c r="T224" s="14" t="str">
        <x:f>IF(H224="No","Exclude",IF(S224&gt;=70,"Priority 1",IF(S224&gt;=55,"Priority 2",IF(S224&gt;=40,"Priority 3","Low priority"))))</x:f>
        <x:v>Exclude</x:v>
      </x:c>
    </x:row>
    <x:row r="225">
      <x:c r="A225" s="14" t="n">
        <x:v>224</x:v>
      </x:c>
      <x:c r="B225" s="18" t="str">
        <x:v>calculator 304</x:v>
      </x:c>
      <x:c r="C225" s="18" t="str">
        <x:v>informational, transactional</x:v>
      </x:c>
      <x:c r="D225" s="26" t="n">
        <x:v>70</x:v>
      </x:c>
      <x:c r="E225" s="28" t="n">
        <x:v>0</x:v>
      </x:c>
      <x:c r="F225" s="14" t="n">
        <x:v>1</x:v>
      </x:c>
      <x:c r="G225" s="14" t="n">
        <x:v>33</x:v>
      </x:c>
      <x:c r="H225" s="14" t="str">
        <x:v>No</x:v>
      </x:c>
      <x:c r="I225" s="18" t="str">
        <x:v>Model/number query, not a distinct web calculator</x:v>
      </x:c>
      <x:c r="J225" s="18" t="str">
        <x:v>Excluded / Non-calculator</x:v>
      </x:c>
      <x:c r="K225" s="18" t="str"/>
      <x:c r="L225" s="18" t="n">
        <x:v>0</x:v>
      </x:c>
      <x:c r="M225" s="18" t="str"/>
      <x:c r="N225" s="18" t="str"/>
      <x:c r="O225" s="18" t="str"/>
      <x:c r="P225" s="30" t="n">
        <x:f>MAX(0,100-G225)</x:f>
        <x:v>67</x:v>
      </x:c>
      <x:c r="Q225" s="30" t="n">
        <x:f>MIN(100,ROUND(LOG10(D225+1)*18,0))</x:f>
        <x:v>33</x:v>
      </x:c>
      <x:c r="R225" s="30" t="n">
        <x:f>MIN(100,ROUND(E225*12,0))</x:f>
        <x:v>0</x:v>
      </x:c>
      <x:c r="S225" s="30" t="n">
        <x:f>IF(H225="No",0,ROUND(P225*0.45+Q225*0.30+R225*0.15+IF(M225="Easy",10,IF(M225="Medium",6,2))+IF(N225="High",5,IF(N225="Medium",3,0)),1))</x:f>
        <x:v>0</x:v>
      </x:c>
      <x:c r="T225" s="14" t="str">
        <x:f>IF(H225="No","Exclude",IF(S225&gt;=70,"Priority 1",IF(S225&gt;=55,"Priority 2",IF(S225&gt;=40,"Priority 3","Low priority"))))</x:f>
        <x:v>Exclude</x:v>
      </x:c>
    </x:row>
    <x:row r="226">
      <x:c r="A226" s="14" t="n">
        <x:v>225</x:v>
      </x:c>
      <x:c r="B226" s="18" t="str">
        <x:v>calculator 89</x:v>
      </x:c>
      <x:c r="C226" s="18" t="str">
        <x:v>transactional, informational</x:v>
      </x:c>
      <x:c r="D226" s="26" t="n">
        <x:v>70</x:v>
      </x:c>
      <x:c r="E226" s="28" t="n">
        <x:v>0.43</x:v>
      </x:c>
      <x:c r="F226" s="14" t="n">
        <x:v>23</x:v>
      </x:c>
      <x:c r="G226" s="14" t="n">
        <x:v>33</x:v>
      </x:c>
      <x:c r="H226" s="14" t="str">
        <x:v>No</x:v>
      </x:c>
      <x:c r="I226" s="18" t="str">
        <x:v>Model/number query, not a distinct web calculator</x:v>
      </x:c>
      <x:c r="J226" s="18" t="str">
        <x:v>Excluded / Non-calculator</x:v>
      </x:c>
      <x:c r="K226" s="18" t="str"/>
      <x:c r="L226" s="18" t="n">
        <x:v>0</x:v>
      </x:c>
      <x:c r="M226" s="18" t="str"/>
      <x:c r="N226" s="18" t="str"/>
      <x:c r="O226" s="18" t="str"/>
      <x:c r="P226" s="30" t="n">
        <x:f>MAX(0,100-G226)</x:f>
        <x:v>67</x:v>
      </x:c>
      <x:c r="Q226" s="30" t="n">
        <x:f>MIN(100,ROUND(LOG10(D226+1)*18,0))</x:f>
        <x:v>33</x:v>
      </x:c>
      <x:c r="R226" s="30" t="n">
        <x:f>MIN(100,ROUND(E226*12,0))</x:f>
        <x:v>5</x:v>
      </x:c>
      <x:c r="S226" s="30" t="n">
        <x:f>IF(H226="No",0,ROUND(P226*0.45+Q226*0.30+R226*0.15+IF(M226="Easy",10,IF(M226="Medium",6,2))+IF(N226="High",5,IF(N226="Medium",3,0)),1))</x:f>
        <x:v>0</x:v>
      </x:c>
      <x:c r="T226" s="14" t="str">
        <x:f>IF(H226="No","Exclude",IF(S226&gt;=70,"Priority 1",IF(S226&gt;=55,"Priority 2",IF(S226&gt;=40,"Priority 3","Low priority"))))</x:f>
        <x:v>Exclude</x:v>
      </x:c>
    </x:row>
    <x:row r="227">
      <x:c r="A227" s="14" t="n">
        <x:v>226</x:v>
      </x:c>
      <x:c r="B227" s="18" t="str">
        <x:v>calculator tricks</x:v>
      </x:c>
      <x:c r="C227" s="18" t="str">
        <x:v>informational</x:v>
      </x:c>
      <x:c r="D227" s="26" t="n">
        <x:v>1300</x:v>
      </x:c>
      <x:c r="E227" s="28" t="n">
        <x:v>0</x:v>
      </x:c>
      <x:c r="F227" s="14" t="n">
        <x:v>1</x:v>
      </x:c>
      <x:c r="G227" s="14" t="n">
        <x:v>34</x:v>
      </x:c>
      <x:c r="H227" s="14" t="str">
        <x:v>No</x:v>
      </x:c>
      <x:c r="I227" s="18" t="str">
        <x:v>App/product/brand/navigation/media intent rather than a calculation</x:v>
      </x:c>
      <x:c r="J227" s="18" t="str">
        <x:v>Excluded / Non-calculator</x:v>
      </x:c>
      <x:c r="K227" s="18" t="str"/>
      <x:c r="L227" s="18" t="n">
        <x:v>0</x:v>
      </x:c>
      <x:c r="M227" s="18" t="str"/>
      <x:c r="N227" s="18" t="str"/>
      <x:c r="O227" s="18" t="str"/>
      <x:c r="P227" s="30" t="n">
        <x:f>MAX(0,100-G227)</x:f>
        <x:v>66</x:v>
      </x:c>
      <x:c r="Q227" s="30" t="n">
        <x:f>MIN(100,ROUND(LOG10(D227+1)*18,0))</x:f>
        <x:v>56</x:v>
      </x:c>
      <x:c r="R227" s="30" t="n">
        <x:f>MIN(100,ROUND(E227*12,0))</x:f>
        <x:v>0</x:v>
      </x:c>
      <x:c r="S227" s="30" t="n">
        <x:f>IF(H227="No",0,ROUND(P227*0.45+Q227*0.30+R227*0.15+IF(M227="Easy",10,IF(M227="Medium",6,2))+IF(N227="High",5,IF(N227="Medium",3,0)),1))</x:f>
        <x:v>0</x:v>
      </x:c>
      <x:c r="T227" s="14" t="str">
        <x:f>IF(H227="No","Exclude",IF(S227&gt;=70,"Priority 1",IF(S227&gt;=55,"Priority 2",IF(S227&gt;=40,"Priority 3","Low priority"))))</x:f>
        <x:v>Exclude</x:v>
      </x:c>
    </x:row>
    <x:row r="228">
      <x:c r="A228" s="14" t="n">
        <x:v>227</x:v>
      </x:c>
      <x:c r="B228" s="18" t="str">
        <x:v>calculator watch 80s</x:v>
      </x:c>
      <x:c r="C228" s="18" t="str">
        <x:v>transactional</x:v>
      </x:c>
      <x:c r="D228" s="26" t="n">
        <x:v>480</x:v>
      </x:c>
      <x:c r="E228" s="28" t="n">
        <x:v>0.11</x:v>
      </x:c>
      <x:c r="F228" s="14" t="n">
        <x:v>94</x:v>
      </x:c>
      <x:c r="G228" s="14" t="n">
        <x:v>34</x:v>
      </x:c>
      <x:c r="H228" s="14" t="str">
        <x:v>No</x:v>
      </x:c>
      <x:c r="I228" s="18" t="str">
        <x:v>App/product/brand/navigation/media intent rather than a calculation</x:v>
      </x:c>
      <x:c r="J228" s="18" t="str">
        <x:v>Excluded / Non-calculator</x:v>
      </x:c>
      <x:c r="K228" s="18" t="str"/>
      <x:c r="L228" s="18" t="n">
        <x:v>0</x:v>
      </x:c>
      <x:c r="M228" s="18" t="str"/>
      <x:c r="N228" s="18" t="str"/>
      <x:c r="O228" s="18" t="str"/>
      <x:c r="P228" s="30" t="n">
        <x:f>MAX(0,100-G228)</x:f>
        <x:v>66</x:v>
      </x:c>
      <x:c r="Q228" s="30" t="n">
        <x:f>MIN(100,ROUND(LOG10(D228+1)*18,0))</x:f>
        <x:v>48</x:v>
      </x:c>
      <x:c r="R228" s="30" t="n">
        <x:f>MIN(100,ROUND(E228*12,0))</x:f>
        <x:v>1</x:v>
      </x:c>
      <x:c r="S228" s="30" t="n">
        <x:f>IF(H228="No",0,ROUND(P228*0.45+Q228*0.30+R228*0.15+IF(M228="Easy",10,IF(M228="Medium",6,2))+IF(N228="High",5,IF(N228="Medium",3,0)),1))</x:f>
        <x:v>0</x:v>
      </x:c>
      <x:c r="T228" s="14" t="str">
        <x:f>IF(H228="No","Exclude",IF(S228&gt;=70,"Priority 1",IF(S228&gt;=55,"Priority 2",IF(S228&gt;=40,"Priority 3","Low priority"))))</x:f>
        <x:v>Exclude</x:v>
      </x:c>
    </x:row>
    <x:row r="229">
      <x:c r="A229" s="14" t="n">
        <x:v>228</x:v>
      </x:c>
      <x:c r="B229" s="18" t="str">
        <x:v>calculator javascript</x:v>
      </x:c>
      <x:c r="C229" s="18" t="str">
        <x:v>informational</x:v>
      </x:c>
      <x:c r="D229" s="26" t="n">
        <x:v>70</x:v>
      </x:c>
      <x:c r="E229" s="28" t="n">
        <x:v>0</x:v>
      </x:c>
      <x:c r="F229" s="14" t="n">
        <x:v>1</x:v>
      </x:c>
      <x:c r="G229" s="14" t="n">
        <x:v>34</x:v>
      </x:c>
      <x:c r="H229" s="14" t="str">
        <x:v>Maybe</x:v>
      </x:c>
      <x:c r="I229" s="18" t="str">
        <x:v>Insufficiently specific; requires SERP validation before development</x:v>
      </x:c>
      <x:c r="J229" s="18" t="str">
        <x:v>General / Other</x:v>
      </x:c>
      <x:c r="K229" s="18" t="str">
        <x:v>Javascript calculator</x:v>
      </x:c>
      <x:c r="L229" s="18" t="n">
        <x:v>1</x:v>
      </x:c>
      <x:c r="M229" s="18" t="str">
        <x:v>Easy</x:v>
      </x:c>
      <x:c r="N229" s="18" t="str">
        <x:v>Medium</x:v>
      </x:c>
      <x:c r="O229" s="18" t="str">
        <x:v>Ads</x:v>
      </x:c>
      <x:c r="P229" s="30" t="n">
        <x:f>MAX(0,100-G229)</x:f>
        <x:v>66</x:v>
      </x:c>
      <x:c r="Q229" s="30" t="n">
        <x:f>MIN(100,ROUND(LOG10(D229+1)*18,0))</x:f>
        <x:v>33</x:v>
      </x:c>
      <x:c r="R229" s="30" t="n">
        <x:f>MIN(100,ROUND(E229*12,0))</x:f>
        <x:v>0</x:v>
      </x:c>
      <x:c r="S229" s="30" t="n">
        <x:f>IF(H229="No",0,ROUND(P229*0.45+Q229*0.30+R229*0.15+IF(M229="Easy",10,IF(M229="Medium",6,2))+IF(N229="High",5,IF(N229="Medium",3,0)),1))</x:f>
        <x:v>52.6</x:v>
      </x:c>
      <x:c r="T229" s="14" t="str">
        <x:f>IF(H229="No","Exclude",IF(S229&gt;=70,"Priority 1",IF(S229&gt;=55,"Priority 2",IF(S229&gt;=40,"Priority 3","Low priority"))))</x:f>
        <x:v>Priority 3</x:v>
      </x:c>
    </x:row>
    <x:row r="230">
      <x:c r="A230" s="14" t="n">
        <x:v>229</x:v>
      </x:c>
      <x:c r="B230" s="18" t="str">
        <x:v>calculator man dc</x:v>
      </x:c>
      <x:c r="C230" s="18" t="str">
        <x:v>informational, transactional</x:v>
      </x:c>
      <x:c r="D230" s="26" t="n">
        <x:v>70</x:v>
      </x:c>
      <x:c r="E230" s="28" t="n">
        <x:v>0</x:v>
      </x:c>
      <x:c r="F230" s="14" t="n">
        <x:v>1</x:v>
      </x:c>
      <x:c r="G230" s="14" t="n">
        <x:v>34</x:v>
      </x:c>
      <x:c r="H230" s="14" t="str">
        <x:v>No</x:v>
      </x:c>
      <x:c r="I230" s="18" t="str">
        <x:v>App/product/brand/navigation/media intent rather than a calculation</x:v>
      </x:c>
      <x:c r="J230" s="18" t="str">
        <x:v>Excluded / Non-calculator</x:v>
      </x:c>
      <x:c r="K230" s="18" t="str"/>
      <x:c r="L230" s="18" t="n">
        <x:v>0</x:v>
      </x:c>
      <x:c r="M230" s="18" t="str"/>
      <x:c r="N230" s="18" t="str"/>
      <x:c r="O230" s="18" t="str"/>
      <x:c r="P230" s="30" t="n">
        <x:f>MAX(0,100-G230)</x:f>
        <x:v>66</x:v>
      </x:c>
      <x:c r="Q230" s="30" t="n">
        <x:f>MIN(100,ROUND(LOG10(D230+1)*18,0))</x:f>
        <x:v>33</x:v>
      </x:c>
      <x:c r="R230" s="30" t="n">
        <x:f>MIN(100,ROUND(E230*12,0))</x:f>
        <x:v>0</x:v>
      </x:c>
      <x:c r="S230" s="30" t="n">
        <x:f>IF(H230="No",0,ROUND(P230*0.45+Q230*0.30+R230*0.15+IF(M230="Easy",10,IF(M230="Medium",6,2))+IF(N230="High",5,IF(N230="Medium",3,0)),1))</x:f>
        <x:v>0</x:v>
      </x:c>
      <x:c r="T230" s="14" t="str">
        <x:f>IF(H230="No","Exclude",IF(S230&gt;=70,"Priority 1",IF(S230&gt;=55,"Priority 2",IF(S230&gt;=40,"Priority 3","Low priority"))))</x:f>
        <x:v>Exclude</x:v>
      </x:c>
    </x:row>
    <x:row r="231">
      <x:c r="A231" s="14" t="n">
        <x:v>230</x:v>
      </x:c>
      <x:c r="B231" s="18" t="str">
        <x:v>calculator qantas</x:v>
      </x:c>
      <x:c r="C231" s="18" t="str">
        <x:v>navigational, informational</x:v>
      </x:c>
      <x:c r="D231" s="26" t="n">
        <x:v>70</x:v>
      </x:c>
      <x:c r="E231" s="28" t="n">
        <x:v>0</x:v>
      </x:c>
      <x:c r="F231" s="14" t="n">
        <x:v>1</x:v>
      </x:c>
      <x:c r="G231" s="14" t="n">
        <x:v>34</x:v>
      </x:c>
      <x:c r="H231" s="14" t="str">
        <x:v>No</x:v>
      </x:c>
      <x:c r="I231" s="18" t="str">
        <x:v>App/product/brand/navigation/media intent rather than a calculation</x:v>
      </x:c>
      <x:c r="J231" s="18" t="str">
        <x:v>Excluded / Non-calculator</x:v>
      </x:c>
      <x:c r="K231" s="18" t="str"/>
      <x:c r="L231" s="18" t="n">
        <x:v>0</x:v>
      </x:c>
      <x:c r="M231" s="18" t="str"/>
      <x:c r="N231" s="18" t="str"/>
      <x:c r="O231" s="18" t="str"/>
      <x:c r="P231" s="30" t="n">
        <x:f>MAX(0,100-G231)</x:f>
        <x:v>66</x:v>
      </x:c>
      <x:c r="Q231" s="30" t="n">
        <x:f>MIN(100,ROUND(LOG10(D231+1)*18,0))</x:f>
        <x:v>33</x:v>
      </x:c>
      <x:c r="R231" s="30" t="n">
        <x:f>MIN(100,ROUND(E231*12,0))</x:f>
        <x:v>0</x:v>
      </x:c>
      <x:c r="S231" s="30" t="n">
        <x:f>IF(H231="No",0,ROUND(P231*0.45+Q231*0.30+R231*0.15+IF(M231="Easy",10,IF(M231="Medium",6,2))+IF(N231="High",5,IF(N231="Medium",3,0)),1))</x:f>
        <x:v>0</x:v>
      </x:c>
      <x:c r="T231" s="14" t="str">
        <x:f>IF(H231="No","Exclude",IF(S231&gt;=70,"Priority 1",IF(S231&gt;=55,"Priority 2",IF(S231&gt;=40,"Priority 3","Low priority"))))</x:f>
        <x:v>Exclude</x:v>
      </x:c>
    </x:row>
    <x:row r="232">
      <x:c r="A232" s="14" t="n">
        <x:v>231</x:v>
      </x:c>
      <x:c r="B232" s="18" t="str">
        <x:v>calculator days between</x:v>
      </x:c>
      <x:c r="C232" s="18" t="str">
        <x:v>null</x:v>
      </x:c>
      <x:c r="D232" s="26" t="n">
        <x:v>74000</x:v>
      </x:c>
      <x:c r="E232" s="28" t="n">
        <x:v>0.02</x:v>
      </x:c>
      <x:c r="F232" s="14" t="n">
        <x:v>1</x:v>
      </x:c>
      <x:c r="G232" s="14" t="n">
        <x:v>35</x:v>
      </x:c>
      <x:c r="H232" s="14" t="str">
        <x:v>Yes</x:v>
      </x:c>
      <x:c r="I232" s="18" t="str">
        <x:v>Clear calculation, conversion, estimation, or formula intent</x:v>
      </x:c>
      <x:c r="J232" s="18" t="str">
        <x:v>Date &amp; Time</x:v>
      </x:c>
      <x:c r="K232" s="18" t="str">
        <x:v>Date difference calculator</x:v>
      </x:c>
      <x:c r="L232" s="18" t="n">
        <x:v>4</x:v>
      </x:c>
      <x:c r="M232" s="18" t="str">
        <x:v>Easy</x:v>
      </x:c>
      <x:c r="N232" s="18" t="str">
        <x:v>Medium</x:v>
      </x:c>
      <x:c r="O232" s="18" t="str">
        <x:v>Ads</x:v>
      </x:c>
      <x:c r="P232" s="30" t="n">
        <x:f>MAX(0,100-G232)</x:f>
        <x:v>65</x:v>
      </x:c>
      <x:c r="Q232" s="30" t="n">
        <x:f>MIN(100,ROUND(LOG10(D232+1)*18,0))</x:f>
        <x:v>88</x:v>
      </x:c>
      <x:c r="R232" s="30" t="n">
        <x:f>MIN(100,ROUND(E232*12,0))</x:f>
        <x:v>0</x:v>
      </x:c>
      <x:c r="S232" s="30" t="n">
        <x:f>IF(H232="No",0,ROUND(P232*0.45+Q232*0.30+R232*0.15+IF(M232="Easy",10,IF(M232="Medium",6,2))+IF(N232="High",5,IF(N232="Medium",3,0)),1))</x:f>
        <x:v>68.7</x:v>
      </x:c>
      <x:c r="T232" s="14" t="str">
        <x:f>IF(H232="No","Exclude",IF(S232&gt;=70,"Priority 1",IF(S232&gt;=55,"Priority 2",IF(S232&gt;=40,"Priority 3","Low priority"))))</x:f>
        <x:v>Priority 2</x:v>
      </x:c>
    </x:row>
    <x:row r="233">
      <x:c r="A233" s="14" t="n">
        <x:v>232</x:v>
      </x:c>
      <x:c r="B233" s="18" t="str">
        <x:v>calculator kg to lbs</x:v>
      </x:c>
      <x:c r="C233" s="18" t="str">
        <x:v>informational</x:v>
      </x:c>
      <x:c r="D233" s="26" t="n">
        <x:v>18100</x:v>
      </x:c>
      <x:c r="E233" s="28" t="n">
        <x:v>0</x:v>
      </x:c>
      <x:c r="F233" s="14" t="n">
        <x:v>1</x:v>
      </x:c>
      <x:c r="G233" s="14" t="n">
        <x:v>35</x:v>
      </x:c>
      <x:c r="H233" s="14" t="str">
        <x:v>Yes</x:v>
      </x:c>
      <x:c r="I233" s="18" t="str">
        <x:v>Clear calculation, conversion, estimation, or formula intent</x:v>
      </x:c>
      <x:c r="J233" s="18" t="str">
        <x:v>Conversions &amp; Units</x:v>
      </x:c>
      <x:c r="K233" s="18" t="str">
        <x:v>Weight unit converter</x:v>
      </x:c>
      <x:c r="L233" s="18" t="n">
        <x:v>2</x:v>
      </x:c>
      <x:c r="M233" s="18" t="str">
        <x:v>Easy</x:v>
      </x:c>
      <x:c r="N233" s="18" t="str">
        <x:v>Medium</x:v>
      </x:c>
      <x:c r="O233" s="18" t="str">
        <x:v>Ads</x:v>
      </x:c>
      <x:c r="P233" s="30" t="n">
        <x:f>MAX(0,100-G233)</x:f>
        <x:v>65</x:v>
      </x:c>
      <x:c r="Q233" s="30" t="n">
        <x:f>MIN(100,ROUND(LOG10(D233+1)*18,0))</x:f>
        <x:v>77</x:v>
      </x:c>
      <x:c r="R233" s="30" t="n">
        <x:f>MIN(100,ROUND(E233*12,0))</x:f>
        <x:v>0</x:v>
      </x:c>
      <x:c r="S233" s="30" t="n">
        <x:f>IF(H233="No",0,ROUND(P233*0.45+Q233*0.30+R233*0.15+IF(M233="Easy",10,IF(M233="Medium",6,2))+IF(N233="High",5,IF(N233="Medium",3,0)),1))</x:f>
        <x:v>65.4</x:v>
      </x:c>
      <x:c r="T233" s="14" t="str">
        <x:f>IF(H233="No","Exclude",IF(S233&gt;=70,"Priority 1",IF(S233&gt;=55,"Priority 2",IF(S233&gt;=40,"Priority 3","Low priority"))))</x:f>
        <x:v>Priority 2</x:v>
      </x:c>
    </x:row>
    <x:row r="234">
      <x:c r="A234" s="14" t="n">
        <x:v>233</x:v>
      </x:c>
      <x:c r="B234" s="18" t="str">
        <x:v>calculator casio watch</x:v>
      </x:c>
      <x:c r="C234" s="18" t="str">
        <x:v>transactional</x:v>
      </x:c>
      <x:c r="D234" s="26" t="n">
        <x:v>14800</x:v>
      </x:c>
      <x:c r="E234" s="28" t="n">
        <x:v>0.3</x:v>
      </x:c>
      <x:c r="F234" s="14" t="n">
        <x:v>92</x:v>
      </x:c>
      <x:c r="G234" s="14" t="n">
        <x:v>35</x:v>
      </x:c>
      <x:c r="H234" s="14" t="str">
        <x:v>No</x:v>
      </x:c>
      <x:c r="I234" s="18" t="str">
        <x:v>App/product/brand/navigation/media intent rather than a calculation</x:v>
      </x:c>
      <x:c r="J234" s="18" t="str">
        <x:v>Excluded / Non-calculator</x:v>
      </x:c>
      <x:c r="K234" s="18" t="str"/>
      <x:c r="L234" s="18" t="n">
        <x:v>0</x:v>
      </x:c>
      <x:c r="M234" s="18" t="str"/>
      <x:c r="N234" s="18" t="str"/>
      <x:c r="O234" s="18" t="str"/>
      <x:c r="P234" s="30" t="n">
        <x:f>MAX(0,100-G234)</x:f>
        <x:v>65</x:v>
      </x:c>
      <x:c r="Q234" s="30" t="n">
        <x:f>MIN(100,ROUND(LOG10(D234+1)*18,0))</x:f>
        <x:v>75</x:v>
      </x:c>
      <x:c r="R234" s="30" t="n">
        <x:f>MIN(100,ROUND(E234*12,0))</x:f>
        <x:v>4</x:v>
      </x:c>
      <x:c r="S234" s="30" t="n">
        <x:f>IF(H234="No",0,ROUND(P234*0.45+Q234*0.30+R234*0.15+IF(M234="Easy",10,IF(M234="Medium",6,2))+IF(N234="High",5,IF(N234="Medium",3,0)),1))</x:f>
        <x:v>0</x:v>
      </x:c>
      <x:c r="T234" s="14" t="str">
        <x:f>IF(H234="No","Exclude",IF(S234&gt;=70,"Priority 1",IF(S234&gt;=55,"Priority 2",IF(S234&gt;=40,"Priority 3","Low priority"))))</x:f>
        <x:v>Exclude</x:v>
      </x:c>
    </x:row>
    <x:row r="235">
      <x:c r="A235" s="14" t="n">
        <x:v>234</x:v>
      </x:c>
      <x:c r="B235" s="18" t="str">
        <x:v>calculator hide app</x:v>
      </x:c>
      <x:c r="C235" s="18" t="str">
        <x:v>informational</x:v>
      </x:c>
      <x:c r="D235" s="26" t="n">
        <x:v>4400</x:v>
      </x:c>
      <x:c r="E235" s="28" t="n">
        <x:v>1.61</x:v>
      </x:c>
      <x:c r="F235" s="14" t="n">
        <x:v>2</x:v>
      </x:c>
      <x:c r="G235" s="14" t="n">
        <x:v>35</x:v>
      </x:c>
      <x:c r="H235" s="14" t="str">
        <x:v>No</x:v>
      </x:c>
      <x:c r="I235" s="18" t="str">
        <x:v>App/product/brand/navigation/media intent rather than a calculation</x:v>
      </x:c>
      <x:c r="J235" s="18" t="str">
        <x:v>Excluded / Non-calculator</x:v>
      </x:c>
      <x:c r="K235" s="18" t="str"/>
      <x:c r="L235" s="18" t="n">
        <x:v>0</x:v>
      </x:c>
      <x:c r="M235" s="18" t="str"/>
      <x:c r="N235" s="18" t="str"/>
      <x:c r="O235" s="18" t="str"/>
      <x:c r="P235" s="30" t="n">
        <x:f>MAX(0,100-G235)</x:f>
        <x:v>65</x:v>
      </x:c>
      <x:c r="Q235" s="30" t="n">
        <x:f>MIN(100,ROUND(LOG10(D235+1)*18,0))</x:f>
        <x:v>66</x:v>
      </x:c>
      <x:c r="R235" s="30" t="n">
        <x:f>MIN(100,ROUND(E235*12,0))</x:f>
        <x:v>19</x:v>
      </x:c>
      <x:c r="S235" s="30" t="n">
        <x:f>IF(H235="No",0,ROUND(P235*0.45+Q235*0.30+R235*0.15+IF(M235="Easy",10,IF(M235="Medium",6,2))+IF(N235="High",5,IF(N235="Medium",3,0)),1))</x:f>
        <x:v>0</x:v>
      </x:c>
      <x:c r="T235" s="14" t="str">
        <x:f>IF(H235="No","Exclude",IF(S235&gt;=70,"Priority 1",IF(S235&gt;=55,"Priority 2",IF(S235&gt;=40,"Priority 3","Low priority"))))</x:f>
        <x:v>Exclude</x:v>
      </x:c>
    </x:row>
    <x:row r="236">
      <x:c r="A236" s="14" t="n">
        <x:v>235</x:v>
      </x:c>
      <x:c r="B236" s="18" t="str">
        <x:v>calculator app to hide photos</x:v>
      </x:c>
      <x:c r="C236" s="18" t="str">
        <x:v>informational</x:v>
      </x:c>
      <x:c r="D236" s="26" t="n">
        <x:v>480</x:v>
      </x:c>
      <x:c r="E236" s="28" t="n">
        <x:v>1.72</x:v>
      </x:c>
      <x:c r="F236" s="14" t="n">
        <x:v>7</x:v>
      </x:c>
      <x:c r="G236" s="14" t="n">
        <x:v>35</x:v>
      </x:c>
      <x:c r="H236" s="14" t="str">
        <x:v>No</x:v>
      </x:c>
      <x:c r="I236" s="18" t="str">
        <x:v>App/product/brand/navigation/media intent rather than a calculation</x:v>
      </x:c>
      <x:c r="J236" s="18" t="str">
        <x:v>Excluded / Non-calculator</x:v>
      </x:c>
      <x:c r="K236" s="18" t="str"/>
      <x:c r="L236" s="18" t="n">
        <x:v>0</x:v>
      </x:c>
      <x:c r="M236" s="18" t="str"/>
      <x:c r="N236" s="18" t="str"/>
      <x:c r="O236" s="18" t="str"/>
      <x:c r="P236" s="30" t="n">
        <x:f>MAX(0,100-G236)</x:f>
        <x:v>65</x:v>
      </x:c>
      <x:c r="Q236" s="30" t="n">
        <x:f>MIN(100,ROUND(LOG10(D236+1)*18,0))</x:f>
        <x:v>48</x:v>
      </x:c>
      <x:c r="R236" s="30" t="n">
        <x:f>MIN(100,ROUND(E236*12,0))</x:f>
        <x:v>21</x:v>
      </x:c>
      <x:c r="S236" s="30" t="n">
        <x:f>IF(H236="No",0,ROUND(P236*0.45+Q236*0.30+R236*0.15+IF(M236="Easy",10,IF(M236="Medium",6,2))+IF(N236="High",5,IF(N236="Medium",3,0)),1))</x:f>
        <x:v>0</x:v>
      </x:c>
      <x:c r="T236" s="14" t="str">
        <x:f>IF(H236="No","Exclude",IF(S236&gt;=70,"Priority 1",IF(S236&gt;=55,"Priority 2",IF(S236&gt;=40,"Priority 3","Low priority"))))</x:f>
        <x:v>Exclude</x:v>
      </x:c>
    </x:row>
    <x:row r="237">
      <x:c r="A237" s="14" t="n">
        <x:v>236</x:v>
      </x:c>
      <x:c r="B237" s="18" t="str">
        <x:v>calculator lock</x:v>
      </x:c>
      <x:c r="C237" s="18" t="str">
        <x:v>transactional, informational</x:v>
      </x:c>
      <x:c r="D237" s="26" t="n">
        <x:v>320</x:v>
      </x:c>
      <x:c r="E237" s="28" t="n">
        <x:v>2.72</x:v>
      </x:c>
      <x:c r="F237" s="14" t="n">
        <x:v>1</x:v>
      </x:c>
      <x:c r="G237" s="14" t="n">
        <x:v>35</x:v>
      </x:c>
      <x:c r="H237" s="14" t="str">
        <x:v>No</x:v>
      </x:c>
      <x:c r="I237" s="18" t="str">
        <x:v>App/product/brand/navigation/media intent rather than a calculation</x:v>
      </x:c>
      <x:c r="J237" s="18" t="str">
        <x:v>Excluded / Non-calculator</x:v>
      </x:c>
      <x:c r="K237" s="18" t="str"/>
      <x:c r="L237" s="18" t="n">
        <x:v>0</x:v>
      </x:c>
      <x:c r="M237" s="18" t="str"/>
      <x:c r="N237" s="18" t="str"/>
      <x:c r="O237" s="18" t="str"/>
      <x:c r="P237" s="30" t="n">
        <x:f>MAX(0,100-G237)</x:f>
        <x:v>65</x:v>
      </x:c>
      <x:c r="Q237" s="30" t="n">
        <x:f>MIN(100,ROUND(LOG10(D237+1)*18,0))</x:f>
        <x:v>45</x:v>
      </x:c>
      <x:c r="R237" s="30" t="n">
        <x:f>MIN(100,ROUND(E237*12,0))</x:f>
        <x:v>33</x:v>
      </x:c>
      <x:c r="S237" s="30" t="n">
        <x:f>IF(H237="No",0,ROUND(P237*0.45+Q237*0.30+R237*0.15+IF(M237="Easy",10,IF(M237="Medium",6,2))+IF(N237="High",5,IF(N237="Medium",3,0)),1))</x:f>
        <x:v>0</x:v>
      </x:c>
      <x:c r="T237" s="14" t="str">
        <x:f>IF(H237="No","Exclude",IF(S237&gt;=70,"Priority 1",IF(S237&gt;=55,"Priority 2",IF(S237&gt;=40,"Priority 3","Low priority"))))</x:f>
        <x:v>Exclude</x:v>
      </x:c>
    </x:row>
    <x:row r="238">
      <x:c r="A238" s="14" t="n">
        <x:v>237</x:v>
      </x:c>
      <x:c r="B238" s="18" t="str">
        <x:v>calculator radian mode</x:v>
      </x:c>
      <x:c r="C238" s="18" t="str">
        <x:v>informational</x:v>
      </x:c>
      <x:c r="D238" s="26" t="n">
        <x:v>210</x:v>
      </x:c>
      <x:c r="E238" s="28" t="n">
        <x:v>0</x:v>
      </x:c>
      <x:c r="F238" s="14" t="n">
        <x:v>1</x:v>
      </x:c>
      <x:c r="G238" s="14" t="n">
        <x:v>35</x:v>
      </x:c>
      <x:c r="H238" s="14" t="str">
        <x:v>Maybe</x:v>
      </x:c>
      <x:c r="I238" s="18" t="str">
        <x:v>Potential calculator intent, but keyword meaning is broad or ambiguous</x:v>
      </x:c>
      <x:c r="J238" s="18" t="str">
        <x:v>General / Other</x:v>
      </x:c>
      <x:c r="K238" s="18" t="str">
        <x:v>Radian Mode calculator</x:v>
      </x:c>
      <x:c r="L238" s="18" t="n">
        <x:v>1</x:v>
      </x:c>
      <x:c r="M238" s="18" t="str">
        <x:v>Easy</x:v>
      </x:c>
      <x:c r="N238" s="18" t="str">
        <x:v>Medium</x:v>
      </x:c>
      <x:c r="O238" s="18" t="str">
        <x:v>Ads</x:v>
      </x:c>
      <x:c r="P238" s="30" t="n">
        <x:f>MAX(0,100-G238)</x:f>
        <x:v>65</x:v>
      </x:c>
      <x:c r="Q238" s="30" t="n">
        <x:f>MIN(100,ROUND(LOG10(D238+1)*18,0))</x:f>
        <x:v>42</x:v>
      </x:c>
      <x:c r="R238" s="30" t="n">
        <x:f>MIN(100,ROUND(E238*12,0))</x:f>
        <x:v>0</x:v>
      </x:c>
      <x:c r="S238" s="30" t="n">
        <x:f>IF(H238="No",0,ROUND(P238*0.45+Q238*0.30+R238*0.15+IF(M238="Easy",10,IF(M238="Medium",6,2))+IF(N238="High",5,IF(N238="Medium",3,0)),1))</x:f>
        <x:v>54.9</x:v>
      </x:c>
      <x:c r="T238" s="14" t="str">
        <x:f>IF(H238="No","Exclude",IF(S238&gt;=70,"Priority 1",IF(S238&gt;=55,"Priority 2",IF(S238&gt;=40,"Priority 3","Low priority"))))</x:f>
        <x:v>Priority 3</x:v>
      </x:c>
    </x:row>
    <x:row r="239">
      <x:c r="A239" s="14" t="n">
        <x:v>238</x:v>
      </x:c>
      <x:c r="B239" s="18" t="str">
        <x:v>calculator messaging app</x:v>
      </x:c>
      <x:c r="C239" s="18" t="str">
        <x:v>navigational, informational</x:v>
      </x:c>
      <x:c r="D239" s="26" t="n">
        <x:v>50</x:v>
      </x:c>
      <x:c r="E239" s="28" t="n">
        <x:v>1.79</x:v>
      </x:c>
      <x:c r="F239" s="14" t="n">
        <x:v>2</x:v>
      </x:c>
      <x:c r="G239" s="14" t="n">
        <x:v>35</x:v>
      </x:c>
      <x:c r="H239" s="14" t="str">
        <x:v>No</x:v>
      </x:c>
      <x:c r="I239" s="18" t="str">
        <x:v>App/product/brand/navigation/media intent rather than a calculation</x:v>
      </x:c>
      <x:c r="J239" s="18" t="str">
        <x:v>Excluded / Non-calculator</x:v>
      </x:c>
      <x:c r="K239" s="18" t="str"/>
      <x:c r="L239" s="18" t="n">
        <x:v>0</x:v>
      </x:c>
      <x:c r="M239" s="18" t="str"/>
      <x:c r="N239" s="18" t="str"/>
      <x:c r="O239" s="18" t="str"/>
      <x:c r="P239" s="30" t="n">
        <x:f>MAX(0,100-G239)</x:f>
        <x:v>65</x:v>
      </x:c>
      <x:c r="Q239" s="30" t="n">
        <x:f>MIN(100,ROUND(LOG10(D239+1)*18,0))</x:f>
        <x:v>31</x:v>
      </x:c>
      <x:c r="R239" s="30" t="n">
        <x:f>MIN(100,ROUND(E239*12,0))</x:f>
        <x:v>21</x:v>
      </x:c>
      <x:c r="S239" s="30" t="n">
        <x:f>IF(H239="No",0,ROUND(P239*0.45+Q239*0.30+R239*0.15+IF(M239="Easy",10,IF(M239="Medium",6,2))+IF(N239="High",5,IF(N239="Medium",3,0)),1))</x:f>
        <x:v>0</x:v>
      </x:c>
      <x:c r="T239" s="14" t="str">
        <x:f>IF(H239="No","Exclude",IF(S239&gt;=70,"Priority 1",IF(S239&gt;=55,"Priority 2",IF(S239&gt;=40,"Priority 3","Low priority"))))</x:f>
        <x:v>Exclude</x:v>
      </x:c>
    </x:row>
    <x:row r="240">
      <x:c r="A240" s="14" t="n">
        <x:v>239</x:v>
      </x:c>
      <x:c r="B240" s="18" t="str">
        <x:v>calculator band</x:v>
      </x:c>
      <x:c r="C240" s="18" t="str">
        <x:v>transactional</x:v>
      </x:c>
      <x:c r="D240" s="26" t="n">
        <x:v>40</x:v>
      </x:c>
      <x:c r="E240" s="28" t="n">
        <x:v>0</x:v>
      </x:c>
      <x:c r="F240" s="14" t="n">
        <x:v>1</x:v>
      </x:c>
      <x:c r="G240" s="14" t="n">
        <x:v>35</x:v>
      </x:c>
      <x:c r="H240" s="14" t="str">
        <x:v>Maybe</x:v>
      </x:c>
      <x:c r="I240" s="18" t="str">
        <x:v>Insufficiently specific; requires SERP validation before development</x:v>
      </x:c>
      <x:c r="J240" s="18" t="str">
        <x:v>General / Other</x:v>
      </x:c>
      <x:c r="K240" s="18" t="str">
        <x:v>Band calculator</x:v>
      </x:c>
      <x:c r="L240" s="18" t="n">
        <x:v>1</x:v>
      </x:c>
      <x:c r="M240" s="18" t="str">
        <x:v>Easy</x:v>
      </x:c>
      <x:c r="N240" s="18" t="str">
        <x:v>Medium</x:v>
      </x:c>
      <x:c r="O240" s="18" t="str">
        <x:v>Ads</x:v>
      </x:c>
      <x:c r="P240" s="30" t="n">
        <x:f>MAX(0,100-G240)</x:f>
        <x:v>65</x:v>
      </x:c>
      <x:c r="Q240" s="30" t="n">
        <x:f>MIN(100,ROUND(LOG10(D240+1)*18,0))</x:f>
        <x:v>29</x:v>
      </x:c>
      <x:c r="R240" s="30" t="n">
        <x:f>MIN(100,ROUND(E240*12,0))</x:f>
        <x:v>0</x:v>
      </x:c>
      <x:c r="S240" s="30" t="n">
        <x:f>IF(H240="No",0,ROUND(P240*0.45+Q240*0.30+R240*0.15+IF(M240="Easy",10,IF(M240="Medium",6,2))+IF(N240="High",5,IF(N240="Medium",3,0)),1))</x:f>
        <x:v>51</x:v>
      </x:c>
      <x:c r="T240" s="14" t="str">
        <x:f>IF(H240="No","Exclude",IF(S240&gt;=70,"Priority 1",IF(S240&gt;=55,"Priority 2",IF(S240&gt;=40,"Priority 3","Low priority"))))</x:f>
        <x:v>Priority 3</x:v>
      </x:c>
    </x:row>
    <x:row r="241">
      <x:c r="A241" s="14" t="n">
        <x:v>240</x:v>
      </x:c>
      <x:c r="B241" s="18" t="str">
        <x:v>calculator 90 days from date</x:v>
      </x:c>
      <x:c r="C241" s="18" t="str">
        <x:v>null</x:v>
      </x:c>
      <x:c r="D241" s="26" t="n">
        <x:v>0</x:v>
      </x:c>
      <x:c r="E241" s="28" t="n">
        <x:v>0</x:v>
      </x:c>
      <x:c r="F241" s="14" t="n">
        <x:v>1</x:v>
      </x:c>
      <x:c r="G241" s="14" t="n">
        <x:v>35</x:v>
      </x:c>
      <x:c r="H241" s="14" t="str">
        <x:v>Yes</x:v>
      </x:c>
      <x:c r="I241" s="18" t="str">
        <x:v>Clear calculation, conversion, estimation, or formula intent</x:v>
      </x:c>
      <x:c r="J241" s="18" t="str">
        <x:v>Date &amp; Time</x:v>
      </x:c>
      <x:c r="K241" s="18" t="str">
        <x:v>Date calculator</x:v>
      </x:c>
      <x:c r="L241" s="18" t="n">
        <x:v>9</x:v>
      </x:c>
      <x:c r="M241" s="18" t="str">
        <x:v>Easy</x:v>
      </x:c>
      <x:c r="N241" s="18" t="str">
        <x:v>Medium</x:v>
      </x:c>
      <x:c r="O241" s="18" t="str">
        <x:v>Ads</x:v>
      </x:c>
      <x:c r="P241" s="30" t="n">
        <x:f>MAX(0,100-G241)</x:f>
        <x:v>65</x:v>
      </x:c>
      <x:c r="Q241" s="30" t="n">
        <x:f>MIN(100,ROUND(LOG10(D241+1)*18,0))</x:f>
        <x:v>0</x:v>
      </x:c>
      <x:c r="R241" s="30" t="n">
        <x:f>MIN(100,ROUND(E241*12,0))</x:f>
        <x:v>0</x:v>
      </x:c>
      <x:c r="S241" s="30" t="n">
        <x:f>IF(H241="No",0,ROUND(P241*0.45+Q241*0.30+R241*0.15+IF(M241="Easy",10,IF(M241="Medium",6,2))+IF(N241="High",5,IF(N241="Medium",3,0)),1))</x:f>
        <x:v>42.3</x:v>
      </x:c>
      <x:c r="T241" s="14" t="str">
        <x:f>IF(H241="No","Exclude",IF(S241&gt;=70,"Priority 1",IF(S241&gt;=55,"Priority 2",IF(S241&gt;=40,"Priority 3","Low priority"))))</x:f>
        <x:v>Priority 3</x:v>
      </x:c>
    </x:row>
    <x:row r="242">
      <x:c r="A242" s="14" t="n">
        <x:v>241</x:v>
      </x:c>
      <x:c r="B242" s="18" t="str">
        <x:v>calculator 529</x:v>
      </x:c>
      <x:c r="C242" s="18" t="str">
        <x:v>navigational, commercial</x:v>
      </x:c>
      <x:c r="D242" s="26" t="n">
        <x:v>18100</x:v>
      </x:c>
      <x:c r="E242" s="28" t="n">
        <x:v>1.3</x:v>
      </x:c>
      <x:c r="F242" s="14" t="n">
        <x:v>36</x:v>
      </x:c>
      <x:c r="G242" s="14" t="n">
        <x:v>36</x:v>
      </x:c>
      <x:c r="H242" s="14" t="str">
        <x:v>Yes</x:v>
      </x:c>
      <x:c r="I242" s="18" t="str">
        <x:v>Clear calculation, conversion, estimation, or formula intent</x:v>
      </x:c>
      <x:c r="J242" s="18" t="str">
        <x:v>Personal Finance &amp; Investing</x:v>
      </x:c>
      <x:c r="K242" s="18" t="str">
        <x:v>529 calculator</x:v>
      </x:c>
      <x:c r="L242" s="18" t="n">
        <x:v>1</x:v>
      </x:c>
      <x:c r="M242" s="18" t="str">
        <x:v>Medium</x:v>
      </x:c>
      <x:c r="N242" s="18" t="str">
        <x:v>High</x:v>
      </x:c>
      <x:c r="O242" s="18" t="str">
        <x:v>Ads / Leads / Affiliate</x:v>
      </x:c>
      <x:c r="P242" s="30" t="n">
        <x:f>MAX(0,100-G242)</x:f>
        <x:v>64</x:v>
      </x:c>
      <x:c r="Q242" s="30" t="n">
        <x:f>MIN(100,ROUND(LOG10(D242+1)*18,0))</x:f>
        <x:v>77</x:v>
      </x:c>
      <x:c r="R242" s="30" t="n">
        <x:f>MIN(100,ROUND(E242*12,0))</x:f>
        <x:v>16</x:v>
      </x:c>
      <x:c r="S242" s="30" t="n">
        <x:f>IF(H242="No",0,ROUND(P242*0.45+Q242*0.30+R242*0.15+IF(M242="Easy",10,IF(M242="Medium",6,2))+IF(N242="High",5,IF(N242="Medium",3,0)),1))</x:f>
        <x:v>65.3</x:v>
      </x:c>
      <x:c r="T242" s="14" t="str">
        <x:f>IF(H242="No","Exclude",IF(S242&gt;=70,"Priority 1",IF(S242&gt;=55,"Priority 2",IF(S242&gt;=40,"Priority 3","Low priority"))))</x:f>
        <x:v>Priority 2</x:v>
      </x:c>
    </x:row>
    <x:row r="243">
      <x:c r="A243" s="14" t="n">
        <x:v>242</x:v>
      </x:c>
      <x:c r="B243" s="18" t="str">
        <x:v>calculator gravel</x:v>
      </x:c>
      <x:c r="C243" s="18" t="str">
        <x:v>null</x:v>
      </x:c>
      <x:c r="D243" s="26" t="n">
        <x:v>60500</x:v>
      </x:c>
      <x:c r="E243" s="28" t="n">
        <x:v>2</x:v>
      </x:c>
      <x:c r="F243" s="14" t="n">
        <x:v>1</x:v>
      </x:c>
      <x:c r="G243" s="14" t="n">
        <x:v>37</x:v>
      </x:c>
      <x:c r="H243" s="14" t="str">
        <x:v>Yes</x:v>
      </x:c>
      <x:c r="I243" s="18" t="str">
        <x:v>Clear calculation, conversion, estimation, or formula intent</x:v>
      </x:c>
      <x:c r="J243" s="18" t="str">
        <x:v>Construction &amp; Home Improvement</x:v>
      </x:c>
      <x:c r="K243" s="18" t="str">
        <x:v>Gravel calculator</x:v>
      </x:c>
      <x:c r="L243" s="18" t="n">
        <x:v>1</x:v>
      </x:c>
      <x:c r="M243" s="18" t="str">
        <x:v>Medium</x:v>
      </x:c>
      <x:c r="N243" s="18" t="str">
        <x:v>Medium</x:v>
      </x:c>
      <x:c r="O243" s="18" t="str">
        <x:v>Ads / Local leads / Affiliate</x:v>
      </x:c>
      <x:c r="P243" s="30" t="n">
        <x:f>MAX(0,100-G243)</x:f>
        <x:v>63</x:v>
      </x:c>
      <x:c r="Q243" s="30" t="n">
        <x:f>MIN(100,ROUND(LOG10(D243+1)*18,0))</x:f>
        <x:v>86</x:v>
      </x:c>
      <x:c r="R243" s="30" t="n">
        <x:f>MIN(100,ROUND(E243*12,0))</x:f>
        <x:v>24</x:v>
      </x:c>
      <x:c r="S243" s="30" t="n">
        <x:f>IF(H243="No",0,ROUND(P243*0.45+Q243*0.30+R243*0.15+IF(M243="Easy",10,IF(M243="Medium",6,2))+IF(N243="High",5,IF(N243="Medium",3,0)),1))</x:f>
        <x:v>66.8</x:v>
      </x:c>
      <x:c r="T243" s="14" t="str">
        <x:f>IF(H243="No","Exclude",IF(S243&gt;=70,"Priority 1",IF(S243&gt;=55,"Priority 2",IF(S243&gt;=40,"Priority 3","Low priority"))))</x:f>
        <x:v>Priority 2</x:v>
      </x:c>
    </x:row>
    <x:row r="244">
      <x:c r="A244" s="14" t="n">
        <x:v>243</x:v>
      </x:c>
      <x:c r="B244" s="18" t="str">
        <x:v>calculator in inches</x:v>
      </x:c>
      <x:c r="C244" s="18" t="str">
        <x:v>informational</x:v>
      </x:c>
      <x:c r="D244" s="26" t="n">
        <x:v>14800</x:v>
      </x:c>
      <x:c r="E244" s="28" t="n">
        <x:v>3.76</x:v>
      </x:c>
      <x:c r="F244" s="14" t="n">
        <x:v>1</x:v>
      </x:c>
      <x:c r="G244" s="14" t="n">
        <x:v>37</x:v>
      </x:c>
      <x:c r="H244" s="14" t="str">
        <x:v>Maybe</x:v>
      </x:c>
      <x:c r="I244" s="18" t="str">
        <x:v>Insufficiently specific; requires SERP validation before development</x:v>
      </x:c>
      <x:c r="J244" s="18" t="str">
        <x:v>Conversions &amp; Units</x:v>
      </x:c>
      <x:c r="K244" s="18" t="str">
        <x:v>In Inches calculator</x:v>
      </x:c>
      <x:c r="L244" s="18" t="n">
        <x:v>1</x:v>
      </x:c>
      <x:c r="M244" s="18" t="str">
        <x:v>Easy</x:v>
      </x:c>
      <x:c r="N244" s="18" t="str">
        <x:v>Medium</x:v>
      </x:c>
      <x:c r="O244" s="18" t="str">
        <x:v>Ads</x:v>
      </x:c>
      <x:c r="P244" s="30" t="n">
        <x:f>MAX(0,100-G244)</x:f>
        <x:v>63</x:v>
      </x:c>
      <x:c r="Q244" s="30" t="n">
        <x:f>MIN(100,ROUND(LOG10(D244+1)*18,0))</x:f>
        <x:v>75</x:v>
      </x:c>
      <x:c r="R244" s="30" t="n">
        <x:f>MIN(100,ROUND(E244*12,0))</x:f>
        <x:v>45</x:v>
      </x:c>
      <x:c r="S244" s="30" t="n">
        <x:f>IF(H244="No",0,ROUND(P244*0.45+Q244*0.30+R244*0.15+IF(M244="Easy",10,IF(M244="Medium",6,2))+IF(N244="High",5,IF(N244="Medium",3,0)),1))</x:f>
        <x:v>70.6</x:v>
      </x:c>
      <x:c r="T244" s="14" t="str">
        <x:f>IF(H244="No","Exclude",IF(S244&gt;=70,"Priority 1",IF(S244&gt;=55,"Priority 2",IF(S244&gt;=40,"Priority 3","Low priority"))))</x:f>
        <x:v>Priority 1</x:v>
      </x:c>
    </x:row>
    <x:row r="245">
      <x:c r="A245" s="14" t="n">
        <x:v>244</x:v>
      </x:c>
      <x:c r="B245" s="18" t="str">
        <x:v>calculator log</x:v>
      </x:c>
      <x:c r="C245" s="18" t="str">
        <x:v>informational, transactional</x:v>
      </x:c>
      <x:c r="D245" s="26" t="n">
        <x:v>14800</x:v>
      </x:c>
      <x:c r="E245" s="28" t="n">
        <x:v>1.35</x:v>
      </x:c>
      <x:c r="F245" s="14" t="n">
        <x:v>1</x:v>
      </x:c>
      <x:c r="G245" s="14" t="n">
        <x:v>37</x:v>
      </x:c>
      <x:c r="H245" s="14" t="str">
        <x:v>Yes</x:v>
      </x:c>
      <x:c r="I245" s="18" t="str">
        <x:v>Clear calculation, conversion, estimation, or formula intent</x:v>
      </x:c>
      <x:c r="J245" s="18" t="str">
        <x:v>Math &amp; Education</x:v>
      </x:c>
      <x:c r="K245" s="18" t="str">
        <x:v>Log calculator</x:v>
      </x:c>
      <x:c r="L245" s="18" t="n">
        <x:v>1</x:v>
      </x:c>
      <x:c r="M245" s="18" t="str">
        <x:v>Easy</x:v>
      </x:c>
      <x:c r="N245" s="18" t="str">
        <x:v>Medium</x:v>
      </x:c>
      <x:c r="O245" s="18" t="str">
        <x:v>Ads / EdTech</x:v>
      </x:c>
      <x:c r="P245" s="30" t="n">
        <x:f>MAX(0,100-G245)</x:f>
        <x:v>63</x:v>
      </x:c>
      <x:c r="Q245" s="30" t="n">
        <x:f>MIN(100,ROUND(LOG10(D245+1)*18,0))</x:f>
        <x:v>75</x:v>
      </x:c>
      <x:c r="R245" s="30" t="n">
        <x:f>MIN(100,ROUND(E245*12,0))</x:f>
        <x:v>16</x:v>
      </x:c>
      <x:c r="S245" s="30" t="n">
        <x:f>IF(H245="No",0,ROUND(P245*0.45+Q245*0.30+R245*0.15+IF(M245="Easy",10,IF(M245="Medium",6,2))+IF(N245="High",5,IF(N245="Medium",3,0)),1))</x:f>
        <x:v>66.3</x:v>
      </x:c>
      <x:c r="T245" s="14" t="str">
        <x:f>IF(H245="No","Exclude",IF(S245&gt;=70,"Priority 1",IF(S245&gt;=55,"Priority 2",IF(S245&gt;=40,"Priority 3","Low priority"))))</x:f>
        <x:v>Priority 2</x:v>
      </x:c>
    </x:row>
    <x:row r="246">
      <x:c r="A246" s="14" t="n">
        <x:v>245</x:v>
      </x:c>
      <x:c r="B246" s="18" t="str">
        <x:v>calculator games</x:v>
      </x:c>
      <x:c r="C246" s="18" t="str">
        <x:v>informational</x:v>
      </x:c>
      <x:c r="D246" s="26" t="n">
        <x:v>6600</x:v>
      </x:c>
      <x:c r="E246" s="28" t="n">
        <x:v>2.63</x:v>
      </x:c>
      <x:c r="F246" s="14" t="n">
        <x:v>1</x:v>
      </x:c>
      <x:c r="G246" s="14" t="n">
        <x:v>37</x:v>
      </x:c>
      <x:c r="H246" s="14" t="str">
        <x:v>No</x:v>
      </x:c>
      <x:c r="I246" s="18" t="str">
        <x:v>App/product/brand/navigation/media intent rather than a calculation</x:v>
      </x:c>
      <x:c r="J246" s="18" t="str">
        <x:v>Excluded / Non-calculator</x:v>
      </x:c>
      <x:c r="K246" s="18" t="str"/>
      <x:c r="L246" s="18" t="n">
        <x:v>0</x:v>
      </x:c>
      <x:c r="M246" s="18" t="str"/>
      <x:c r="N246" s="18" t="str"/>
      <x:c r="O246" s="18" t="str"/>
      <x:c r="P246" s="30" t="n">
        <x:f>MAX(0,100-G246)</x:f>
        <x:v>63</x:v>
      </x:c>
      <x:c r="Q246" s="30" t="n">
        <x:f>MIN(100,ROUND(LOG10(D246+1)*18,0))</x:f>
        <x:v>69</x:v>
      </x:c>
      <x:c r="R246" s="30" t="n">
        <x:f>MIN(100,ROUND(E246*12,0))</x:f>
        <x:v>32</x:v>
      </x:c>
      <x:c r="S246" s="30" t="n">
        <x:f>IF(H246="No",0,ROUND(P246*0.45+Q246*0.30+R246*0.15+IF(M246="Easy",10,IF(M246="Medium",6,2))+IF(N246="High",5,IF(N246="Medium",3,0)),1))</x:f>
        <x:v>0</x:v>
      </x:c>
      <x:c r="T246" s="14" t="str">
        <x:f>IF(H246="No","Exclude",IF(S246&gt;=70,"Priority 1",IF(S246&gt;=55,"Priority 2",IF(S246&gt;=40,"Priority 3","Low priority"))))</x:f>
        <x:v>Exclude</x:v>
      </x:c>
    </x:row>
    <x:row r="247">
      <x:c r="A247" s="14" t="n">
        <x:v>246</x:v>
      </x:c>
      <x:c r="B247" s="18" t="str">
        <x:v>calculator youtube</x:v>
      </x:c>
      <x:c r="C247" s="18" t="str">
        <x:v>informational, navigational</x:v>
      </x:c>
      <x:c r="D247" s="26" t="n">
        <x:v>1300</x:v>
      </x:c>
      <x:c r="E247" s="28" t="n">
        <x:v>6.53</x:v>
      </x:c>
      <x:c r="F247" s="14" t="n">
        <x:v>1</x:v>
      </x:c>
      <x:c r="G247" s="14" t="n">
        <x:v>37</x:v>
      </x:c>
      <x:c r="H247" s="14" t="str">
        <x:v>No</x:v>
      </x:c>
      <x:c r="I247" s="18" t="str">
        <x:v>App/product/brand/navigation/media intent rather than a calculation</x:v>
      </x:c>
      <x:c r="J247" s="18" t="str">
        <x:v>Excluded / Non-calculator</x:v>
      </x:c>
      <x:c r="K247" s="18" t="str"/>
      <x:c r="L247" s="18" t="n">
        <x:v>0</x:v>
      </x:c>
      <x:c r="M247" s="18" t="str"/>
      <x:c r="N247" s="18" t="str"/>
      <x:c r="O247" s="18" t="str"/>
      <x:c r="P247" s="30" t="n">
        <x:f>MAX(0,100-G247)</x:f>
        <x:v>63</x:v>
      </x:c>
      <x:c r="Q247" s="30" t="n">
        <x:f>MIN(100,ROUND(LOG10(D247+1)*18,0))</x:f>
        <x:v>56</x:v>
      </x:c>
      <x:c r="R247" s="30" t="n">
        <x:f>MIN(100,ROUND(E247*12,0))</x:f>
        <x:v>78</x:v>
      </x:c>
      <x:c r="S247" s="30" t="n">
        <x:f>IF(H247="No",0,ROUND(P247*0.45+Q247*0.30+R247*0.15+IF(M247="Easy",10,IF(M247="Medium",6,2))+IF(N247="High",5,IF(N247="Medium",3,0)),1))</x:f>
        <x:v>0</x:v>
      </x:c>
      <x:c r="T247" s="14" t="str">
        <x:f>IF(H247="No","Exclude",IF(S247&gt;=70,"Priority 1",IF(S247&gt;=55,"Priority 2",IF(S247&gt;=40,"Priority 3","Low priority"))))</x:f>
        <x:v>Exclude</x:v>
      </x:c>
    </x:row>
    <x:row r="248">
      <x:c r="A248" s="14" t="n">
        <x:v>247</x:v>
      </x:c>
      <x:c r="B248" s="18" t="str">
        <x:v>calculator usd to cad</x:v>
      </x:c>
      <x:c r="C248" s="18" t="str">
        <x:v>informational</x:v>
      </x:c>
      <x:c r="D248" s="26" t="n">
        <x:v>720</x:v>
      </x:c>
      <x:c r="E248" s="28" t="n">
        <x:v>0.04</x:v>
      </x:c>
      <x:c r="F248" s="14" t="n">
        <x:v>5</x:v>
      </x:c>
      <x:c r="G248" s="14" t="n">
        <x:v>37</x:v>
      </x:c>
      <x:c r="H248" s="14" t="str">
        <x:v>Yes</x:v>
      </x:c>
      <x:c r="I248" s="18" t="str">
        <x:v>Clear calculation, conversion, estimation, or formula intent</x:v>
      </x:c>
      <x:c r="J248" s="18" t="str">
        <x:v>Conversions &amp; Units</x:v>
      </x:c>
      <x:c r="K248" s="18" t="str">
        <x:v>Usd To Cad calculator</x:v>
      </x:c>
      <x:c r="L248" s="18" t="n">
        <x:v>1</x:v>
      </x:c>
      <x:c r="M248" s="18" t="str">
        <x:v>Easy</x:v>
      </x:c>
      <x:c r="N248" s="18" t="str">
        <x:v>High</x:v>
      </x:c>
      <x:c r="O248" s="18" t="str">
        <x:v>Ads</x:v>
      </x:c>
      <x:c r="P248" s="30" t="n">
        <x:f>MAX(0,100-G248)</x:f>
        <x:v>63</x:v>
      </x:c>
      <x:c r="Q248" s="30" t="n">
        <x:f>MIN(100,ROUND(LOG10(D248+1)*18,0))</x:f>
        <x:v>51</x:v>
      </x:c>
      <x:c r="R248" s="30" t="n">
        <x:f>MIN(100,ROUND(E248*12,0))</x:f>
        <x:v>0</x:v>
      </x:c>
      <x:c r="S248" s="30" t="n">
        <x:f>IF(H248="No",0,ROUND(P248*0.45+Q248*0.30+R248*0.15+IF(M248="Easy",10,IF(M248="Medium",6,2))+IF(N248="High",5,IF(N248="Medium",3,0)),1))</x:f>
        <x:v>58.7</x:v>
      </x:c>
      <x:c r="T248" s="14" t="str">
        <x:f>IF(H248="No","Exclude",IF(S248&gt;=70,"Priority 1",IF(S248&gt;=55,"Priority 2",IF(S248&gt;=40,"Priority 3","Low priority"))))</x:f>
        <x:v>Priority 2</x:v>
      </x:c>
    </x:row>
    <x:row r="249">
      <x:c r="A249" s="14" t="n">
        <x:v>248</x:v>
      </x:c>
      <x:c r="B249" s="18" t="str">
        <x:v>calculator emulator</x:v>
      </x:c>
      <x:c r="C249" s="18" t="str">
        <x:v>informational, transactional</x:v>
      </x:c>
      <x:c r="D249" s="26" t="n">
        <x:v>390</x:v>
      </x:c>
      <x:c r="E249" s="28" t="n">
        <x:v>0</x:v>
      </x:c>
      <x:c r="F249" s="14" t="n">
        <x:v>1</x:v>
      </x:c>
      <x:c r="G249" s="14" t="n">
        <x:v>37</x:v>
      </x:c>
      <x:c r="H249" s="14" t="str">
        <x:v>No</x:v>
      </x:c>
      <x:c r="I249" s="18" t="str">
        <x:v>App/product/brand/navigation/media intent rather than a calculation</x:v>
      </x:c>
      <x:c r="J249" s="18" t="str">
        <x:v>Excluded / Non-calculator</x:v>
      </x:c>
      <x:c r="K249" s="18" t="str"/>
      <x:c r="L249" s="18" t="n">
        <x:v>0</x:v>
      </x:c>
      <x:c r="M249" s="18" t="str"/>
      <x:c r="N249" s="18" t="str"/>
      <x:c r="O249" s="18" t="str"/>
      <x:c r="P249" s="30" t="n">
        <x:f>MAX(0,100-G249)</x:f>
        <x:v>63</x:v>
      </x:c>
      <x:c r="Q249" s="30" t="n">
        <x:f>MIN(100,ROUND(LOG10(D249+1)*18,0))</x:f>
        <x:v>47</x:v>
      </x:c>
      <x:c r="R249" s="30" t="n">
        <x:f>MIN(100,ROUND(E249*12,0))</x:f>
        <x:v>0</x:v>
      </x:c>
      <x:c r="S249" s="30" t="n">
        <x:f>IF(H249="No",0,ROUND(P249*0.45+Q249*0.30+R249*0.15+IF(M249="Easy",10,IF(M249="Medium",6,2))+IF(N249="High",5,IF(N249="Medium",3,0)),1))</x:f>
        <x:v>0</x:v>
      </x:c>
      <x:c r="T249" s="14" t="str">
        <x:f>IF(H249="No","Exclude",IF(S249&gt;=70,"Priority 1",IF(S249&gt;=55,"Priority 2",IF(S249&gt;=40,"Priority 3","Low priority"))))</x:f>
        <x:v>Exclude</x:v>
      </x:c>
    </x:row>
    <x:row r="250">
      <x:c r="A250" s="14" t="n">
        <x:v>249</x:v>
      </x:c>
      <x:c r="B250" s="18" t="str">
        <x:v>calculator 34</x:v>
      </x:c>
      <x:c r="C250" s="18" t="str">
        <x:v>transactional, informational</x:v>
      </x:c>
      <x:c r="D250" s="26" t="n">
        <x:v>50</x:v>
      </x:c>
      <x:c r="E250" s="28" t="n">
        <x:v>0.15</x:v>
      </x:c>
      <x:c r="F250" s="14" t="n">
        <x:v>6</x:v>
      </x:c>
      <x:c r="G250" s="14" t="n">
        <x:v>37</x:v>
      </x:c>
      <x:c r="H250" s="14" t="str">
        <x:v>No</x:v>
      </x:c>
      <x:c r="I250" s="18" t="str">
        <x:v>Model/number query, not a distinct web calculator</x:v>
      </x:c>
      <x:c r="J250" s="18" t="str">
        <x:v>Excluded / Non-calculator</x:v>
      </x:c>
      <x:c r="K250" s="18" t="str"/>
      <x:c r="L250" s="18" t="n">
        <x:v>0</x:v>
      </x:c>
      <x:c r="M250" s="18" t="str"/>
      <x:c r="N250" s="18" t="str"/>
      <x:c r="O250" s="18" t="str"/>
      <x:c r="P250" s="30" t="n">
        <x:f>MAX(0,100-G250)</x:f>
        <x:v>63</x:v>
      </x:c>
      <x:c r="Q250" s="30" t="n">
        <x:f>MIN(100,ROUND(LOG10(D250+1)*18,0))</x:f>
        <x:v>31</x:v>
      </x:c>
      <x:c r="R250" s="30" t="n">
        <x:f>MIN(100,ROUND(E250*12,0))</x:f>
        <x:v>2</x:v>
      </x:c>
      <x:c r="S250" s="30" t="n">
        <x:f>IF(H250="No",0,ROUND(P250*0.45+Q250*0.30+R250*0.15+IF(M250="Easy",10,IF(M250="Medium",6,2))+IF(N250="High",5,IF(N250="Medium",3,0)),1))</x:f>
        <x:v>0</x:v>
      </x:c>
      <x:c r="T250" s="14" t="str">
        <x:f>IF(H250="No","Exclude",IF(S250&gt;=70,"Priority 1",IF(S250&gt;=55,"Priority 2",IF(S250&gt;=40,"Priority 3","Low priority"))))</x:f>
        <x:v>Exclude</x:v>
      </x:c>
    </x:row>
    <x:row r="251">
      <x:c r="A251" s="14" t="n">
        <x:v>250</x:v>
      </x:c>
      <x:c r="B251" s="18" t="str">
        <x:v>calculator messages</x:v>
      </x:c>
      <x:c r="C251" s="18" t="str">
        <x:v>informational</x:v>
      </x:c>
      <x:c r="D251" s="26" t="n">
        <x:v>260</x:v>
      </x:c>
      <x:c r="E251" s="28" t="n">
        <x:v>0</x:v>
      </x:c>
      <x:c r="F251" s="14" t="n">
        <x:v>1</x:v>
      </x:c>
      <x:c r="G251" s="14" t="n">
        <x:v>38</x:v>
      </x:c>
      <x:c r="H251" s="14" t="str">
        <x:v>Yes</x:v>
      </x:c>
      <x:c r="I251" s="18" t="str">
        <x:v>Clear calculation, conversion, estimation, or formula intent</x:v>
      </x:c>
      <x:c r="J251" s="18" t="str">
        <x:v>Date &amp; Time</x:v>
      </x:c>
      <x:c r="K251" s="18" t="str">
        <x:v>Messages calculator</x:v>
      </x:c>
      <x:c r="L251" s="18" t="n">
        <x:v>1</x:v>
      </x:c>
      <x:c r="M251" s="18" t="str">
        <x:v>Easy</x:v>
      </x:c>
      <x:c r="N251" s="18" t="str">
        <x:v>Medium</x:v>
      </x:c>
      <x:c r="O251" s="18" t="str">
        <x:v>Ads</x:v>
      </x:c>
      <x:c r="P251" s="30" t="n">
        <x:f>MAX(0,100-G251)</x:f>
        <x:v>62</x:v>
      </x:c>
      <x:c r="Q251" s="30" t="n">
        <x:f>MIN(100,ROUND(LOG10(D251+1)*18,0))</x:f>
        <x:v>43</x:v>
      </x:c>
      <x:c r="R251" s="30" t="n">
        <x:f>MIN(100,ROUND(E251*12,0))</x:f>
        <x:v>0</x:v>
      </x:c>
      <x:c r="S251" s="30" t="n">
        <x:f>IF(H251="No",0,ROUND(P251*0.45+Q251*0.30+R251*0.15+IF(M251="Easy",10,IF(M251="Medium",6,2))+IF(N251="High",5,IF(N251="Medium",3,0)),1))</x:f>
        <x:v>53.8</x:v>
      </x:c>
      <x:c r="T251" s="14" t="str">
        <x:f>IF(H251="No","Exclude",IF(S251&gt;=70,"Priority 1",IF(S251&gt;=55,"Priority 2",IF(S251&gt;=40,"Priority 3","Low priority"))))</x:f>
        <x:v>Priority 3</x:v>
      </x:c>
    </x:row>
    <x:row r="252">
      <x:c r="A252" s="14" t="n">
        <x:v>251</x:v>
      </x:c>
      <x:c r="B252" s="18" t="str">
        <x:v>calculator with lunch</x:v>
      </x:c>
      <x:c r="C252" s="18" t="str">
        <x:v>transactional</x:v>
      </x:c>
      <x:c r="D252" s="26" t="n">
        <x:v>90</x:v>
      </x:c>
      <x:c r="E252" s="28" t="n">
        <x:v>0</x:v>
      </x:c>
      <x:c r="F252" s="14" t="n">
        <x:v>1</x:v>
      </x:c>
      <x:c r="G252" s="14" t="n">
        <x:v>38</x:v>
      </x:c>
      <x:c r="H252" s="14" t="str">
        <x:v>Maybe</x:v>
      </x:c>
      <x:c r="I252" s="18" t="str">
        <x:v>Insufficiently specific; requires SERP validation before development</x:v>
      </x:c>
      <x:c r="J252" s="18" t="str">
        <x:v>General / Other</x:v>
      </x:c>
      <x:c r="K252" s="18" t="str">
        <x:v>With Lunch calculator</x:v>
      </x:c>
      <x:c r="L252" s="18" t="n">
        <x:v>1</x:v>
      </x:c>
      <x:c r="M252" s="18" t="str">
        <x:v>Easy</x:v>
      </x:c>
      <x:c r="N252" s="18" t="str">
        <x:v>Medium</x:v>
      </x:c>
      <x:c r="O252" s="18" t="str">
        <x:v>Ads</x:v>
      </x:c>
      <x:c r="P252" s="30" t="n">
        <x:f>MAX(0,100-G252)</x:f>
        <x:v>62</x:v>
      </x:c>
      <x:c r="Q252" s="30" t="n">
        <x:f>MIN(100,ROUND(LOG10(D252+1)*18,0))</x:f>
        <x:v>35</x:v>
      </x:c>
      <x:c r="R252" s="30" t="n">
        <x:f>MIN(100,ROUND(E252*12,0))</x:f>
        <x:v>0</x:v>
      </x:c>
      <x:c r="S252" s="30" t="n">
        <x:f>IF(H252="No",0,ROUND(P252*0.45+Q252*0.30+R252*0.15+IF(M252="Easy",10,IF(M252="Medium",6,2))+IF(N252="High",5,IF(N252="Medium",3,0)),1))</x:f>
        <x:v>51.4</x:v>
      </x:c>
      <x:c r="T252" s="14" t="str">
        <x:f>IF(H252="No","Exclude",IF(S252&gt;=70,"Priority 1",IF(S252&gt;=55,"Priority 2",IF(S252&gt;=40,"Priority 3","Low priority"))))</x:f>
        <x:v>Priority 3</x:v>
      </x:c>
    </x:row>
    <x:row r="253">
      <x:c r="A253" s="14" t="n">
        <x:v>252</x:v>
      </x:c>
      <x:c r="B253" s="18" t="str">
        <x:v>calculator 13</x:v>
      </x:c>
      <x:c r="C253" s="18" t="str">
        <x:v>transactional, informational</x:v>
      </x:c>
      <x:c r="D253" s="26" t="n">
        <x:v>70</x:v>
      </x:c>
      <x:c r="E253" s="28" t="n">
        <x:v>0</x:v>
      </x:c>
      <x:c r="F253" s="14" t="n">
        <x:v>1</x:v>
      </x:c>
      <x:c r="G253" s="14" t="n">
        <x:v>38</x:v>
      </x:c>
      <x:c r="H253" s="14" t="str">
        <x:v>No</x:v>
      </x:c>
      <x:c r="I253" s="18" t="str">
        <x:v>Model/number query, not a distinct web calculator</x:v>
      </x:c>
      <x:c r="J253" s="18" t="str">
        <x:v>Excluded / Non-calculator</x:v>
      </x:c>
      <x:c r="K253" s="18" t="str"/>
      <x:c r="L253" s="18" t="n">
        <x:v>0</x:v>
      </x:c>
      <x:c r="M253" s="18" t="str"/>
      <x:c r="N253" s="18" t="str"/>
      <x:c r="O253" s="18" t="str"/>
      <x:c r="P253" s="30" t="n">
        <x:f>MAX(0,100-G253)</x:f>
        <x:v>62</x:v>
      </x:c>
      <x:c r="Q253" s="30" t="n">
        <x:f>MIN(100,ROUND(LOG10(D253+1)*18,0))</x:f>
        <x:v>33</x:v>
      </x:c>
      <x:c r="R253" s="30" t="n">
        <x:f>MIN(100,ROUND(E253*12,0))</x:f>
        <x:v>0</x:v>
      </x:c>
      <x:c r="S253" s="30" t="n">
        <x:f>IF(H253="No",0,ROUND(P253*0.45+Q253*0.30+R253*0.15+IF(M253="Easy",10,IF(M253="Medium",6,2))+IF(N253="High",5,IF(N253="Medium",3,0)),1))</x:f>
        <x:v>0</x:v>
      </x:c>
      <x:c r="T253" s="14" t="str">
        <x:f>IF(H253="No","Exclude",IF(S253&gt;=70,"Priority 1",IF(S253&gt;=55,"Priority 2",IF(S253&gt;=40,"Priority 3","Low priority"))))</x:f>
        <x:v>Exclude</x:v>
      </x:c>
    </x:row>
    <x:row r="254">
      <x:c r="A254" s="14" t="n">
        <x:v>253</x:v>
      </x:c>
      <x:c r="B254" s="18" t="str">
        <x:v>calculator vault</x:v>
      </x:c>
      <x:c r="C254" s="18" t="str">
        <x:v>navigational</x:v>
      </x:c>
      <x:c r="D254" s="26" t="n">
        <x:v>1300</x:v>
      </x:c>
      <x:c r="E254" s="28" t="n">
        <x:v>1.59</x:v>
      </x:c>
      <x:c r="F254" s="14" t="n">
        <x:v>3</x:v>
      </x:c>
      <x:c r="G254" s="14" t="n">
        <x:v>39</x:v>
      </x:c>
      <x:c r="H254" s="14" t="str">
        <x:v>No</x:v>
      </x:c>
      <x:c r="I254" s="18" t="str">
        <x:v>App/product/brand/navigation/media intent rather than a calculation</x:v>
      </x:c>
      <x:c r="J254" s="18" t="str">
        <x:v>Excluded / Non-calculator</x:v>
      </x:c>
      <x:c r="K254" s="18" t="str"/>
      <x:c r="L254" s="18" t="n">
        <x:v>0</x:v>
      </x:c>
      <x:c r="M254" s="18" t="str"/>
      <x:c r="N254" s="18" t="str"/>
      <x:c r="O254" s="18" t="str"/>
      <x:c r="P254" s="30" t="n">
        <x:f>MAX(0,100-G254)</x:f>
        <x:v>61</x:v>
      </x:c>
      <x:c r="Q254" s="30" t="n">
        <x:f>MIN(100,ROUND(LOG10(D254+1)*18,0))</x:f>
        <x:v>56</x:v>
      </x:c>
      <x:c r="R254" s="30" t="n">
        <x:f>MIN(100,ROUND(E254*12,0))</x:f>
        <x:v>19</x:v>
      </x:c>
      <x:c r="S254" s="30" t="n">
        <x:f>IF(H254="No",0,ROUND(P254*0.45+Q254*0.30+R254*0.15+IF(M254="Easy",10,IF(M254="Medium",6,2))+IF(N254="High",5,IF(N254="Medium",3,0)),1))</x:f>
        <x:v>0</x:v>
      </x:c>
      <x:c r="T254" s="14" t="str">
        <x:f>IF(H254="No","Exclude",IF(S254&gt;=70,"Priority 1",IF(S254&gt;=55,"Priority 2",IF(S254&gt;=40,"Priority 3","Low priority"))))</x:f>
        <x:v>Exclude</x:v>
      </x:c>
    </x:row>
    <x:row r="255">
      <x:c r="A255" s="14" t="n">
        <x:v>254</x:v>
      </x:c>
      <x:c r="B255" s="18" t="str">
        <x:v>calculator vault app</x:v>
      </x:c>
      <x:c r="C255" s="18" t="str">
        <x:v>navigational, informational, transactional</x:v>
      </x:c>
      <x:c r="D255" s="26" t="n">
        <x:v>880</x:v>
      </x:c>
      <x:c r="E255" s="28" t="n">
        <x:v>2.18</x:v>
      </x:c>
      <x:c r="F255" s="14" t="n">
        <x:v>3</x:v>
      </x:c>
      <x:c r="G255" s="14" t="n">
        <x:v>39</x:v>
      </x:c>
      <x:c r="H255" s="14" t="str">
        <x:v>No</x:v>
      </x:c>
      <x:c r="I255" s="18" t="str">
        <x:v>App/product/brand/navigation/media intent rather than a calculation</x:v>
      </x:c>
      <x:c r="J255" s="18" t="str">
        <x:v>Excluded / Non-calculator</x:v>
      </x:c>
      <x:c r="K255" s="18" t="str"/>
      <x:c r="L255" s="18" t="n">
        <x:v>0</x:v>
      </x:c>
      <x:c r="M255" s="18" t="str"/>
      <x:c r="N255" s="18" t="str"/>
      <x:c r="O255" s="18" t="str"/>
      <x:c r="P255" s="30" t="n">
        <x:f>MAX(0,100-G255)</x:f>
        <x:v>61</x:v>
      </x:c>
      <x:c r="Q255" s="30" t="n">
        <x:f>MIN(100,ROUND(LOG10(D255+1)*18,0))</x:f>
        <x:v>53</x:v>
      </x:c>
      <x:c r="R255" s="30" t="n">
        <x:f>MIN(100,ROUND(E255*12,0))</x:f>
        <x:v>26</x:v>
      </x:c>
      <x:c r="S255" s="30" t="n">
        <x:f>IF(H255="No",0,ROUND(P255*0.45+Q255*0.30+R255*0.15+IF(M255="Easy",10,IF(M255="Medium",6,2))+IF(N255="High",5,IF(N255="Medium",3,0)),1))</x:f>
        <x:v>0</x:v>
      </x:c>
      <x:c r="T255" s="14" t="str">
        <x:f>IF(H255="No","Exclude",IF(S255&gt;=70,"Priority 1",IF(S255&gt;=55,"Priority 2",IF(S255&gt;=40,"Priority 3","Low priority"))))</x:f>
        <x:v>Exclude</x:v>
      </x:c>
    </x:row>
    <x:row r="256">
      <x:c r="A256" s="14" t="n">
        <x:v>255</x:v>
      </x:c>
      <x:c r="B256" s="18" t="str">
        <x:v>calculator app lock</x:v>
      </x:c>
      <x:c r="C256" s="18" t="str">
        <x:v>informational</x:v>
      </x:c>
      <x:c r="D256" s="26" t="n">
        <x:v>590</x:v>
      </x:c>
      <x:c r="E256" s="28" t="n">
        <x:v>1.02</x:v>
      </x:c>
      <x:c r="F256" s="14" t="n">
        <x:v>4</x:v>
      </x:c>
      <x:c r="G256" s="14" t="n">
        <x:v>39</x:v>
      </x:c>
      <x:c r="H256" s="14" t="str">
        <x:v>No</x:v>
      </x:c>
      <x:c r="I256" s="18" t="str">
        <x:v>App/product/brand/navigation/media intent rather than a calculation</x:v>
      </x:c>
      <x:c r="J256" s="18" t="str">
        <x:v>Excluded / Non-calculator</x:v>
      </x:c>
      <x:c r="K256" s="18" t="str"/>
      <x:c r="L256" s="18" t="n">
        <x:v>0</x:v>
      </x:c>
      <x:c r="M256" s="18" t="str"/>
      <x:c r="N256" s="18" t="str"/>
      <x:c r="O256" s="18" t="str"/>
      <x:c r="P256" s="30" t="n">
        <x:f>MAX(0,100-G256)</x:f>
        <x:v>61</x:v>
      </x:c>
      <x:c r="Q256" s="30" t="n">
        <x:f>MIN(100,ROUND(LOG10(D256+1)*18,0))</x:f>
        <x:v>50</x:v>
      </x:c>
      <x:c r="R256" s="30" t="n">
        <x:f>MIN(100,ROUND(E256*12,0))</x:f>
        <x:v>12</x:v>
      </x:c>
      <x:c r="S256" s="30" t="n">
        <x:f>IF(H256="No",0,ROUND(P256*0.45+Q256*0.30+R256*0.15+IF(M256="Easy",10,IF(M256="Medium",6,2))+IF(N256="High",5,IF(N256="Medium",3,0)),1))</x:f>
        <x:v>0</x:v>
      </x:c>
      <x:c r="T256" s="14" t="str">
        <x:f>IF(H256="No","Exclude",IF(S256&gt;=70,"Priority 1",IF(S256&gt;=55,"Priority 2",IF(S256&gt;=40,"Priority 3","Low priority"))))</x:f>
        <x:v>Exclude</x:v>
      </x:c>
    </x:row>
    <x:row r="257">
      <x:c r="A257" s="14" t="n">
        <x:v>256</x:v>
      </x:c>
      <x:c r="B257" s="18" t="str">
        <x:v>calculator macros</x:v>
      </x:c>
      <x:c r="C257" s="18" t="str">
        <x:v>informational</x:v>
      </x:c>
      <x:c r="D257" s="26" t="n">
        <x:v>210</x:v>
      </x:c>
      <x:c r="E257" s="28" t="n">
        <x:v>0.75</x:v>
      </x:c>
      <x:c r="F257" s="14" t="n">
        <x:v>18</x:v>
      </x:c>
      <x:c r="G257" s="14" t="n">
        <x:v>39</x:v>
      </x:c>
      <x:c r="H257" s="14" t="str">
        <x:v>Yes</x:v>
      </x:c>
      <x:c r="I257" s="18" t="str">
        <x:v>Clear calculation, conversion, estimation, or formula intent</x:v>
      </x:c>
      <x:c r="J257" s="18" t="str">
        <x:v>Health, Nutrition &amp; Fitness</x:v>
      </x:c>
      <x:c r="K257" s="18" t="str">
        <x:v>Macros calculator</x:v>
      </x:c>
      <x:c r="L257" s="18" t="n">
        <x:v>1</x:v>
      </x:c>
      <x:c r="M257" s="18" t="str">
        <x:v>Easy</x:v>
      </x:c>
      <x:c r="N257" s="18" t="str">
        <x:v>Medium</x:v>
      </x:c>
      <x:c r="O257" s="18" t="str">
        <x:v>Ads / Affiliate</x:v>
      </x:c>
      <x:c r="P257" s="30" t="n">
        <x:f>MAX(0,100-G257)</x:f>
        <x:v>61</x:v>
      </x:c>
      <x:c r="Q257" s="30" t="n">
        <x:f>MIN(100,ROUND(LOG10(D257+1)*18,0))</x:f>
        <x:v>42</x:v>
      </x:c>
      <x:c r="R257" s="30" t="n">
        <x:f>MIN(100,ROUND(E257*12,0))</x:f>
        <x:v>9</x:v>
      </x:c>
      <x:c r="S257" s="30" t="n">
        <x:f>IF(H257="No",0,ROUND(P257*0.45+Q257*0.30+R257*0.15+IF(M257="Easy",10,IF(M257="Medium",6,2))+IF(N257="High",5,IF(N257="Medium",3,0)),1))</x:f>
        <x:v>54.4</x:v>
      </x:c>
      <x:c r="T257" s="14" t="str">
        <x:f>IF(H257="No","Exclude",IF(S257&gt;=70,"Priority 1",IF(S257&gt;=55,"Priority 2",IF(S257&gt;=40,"Priority 3","Low priority"))))</x:f>
        <x:v>Priority 3</x:v>
      </x:c>
    </x:row>
    <x:row r="258">
      <x:c r="A258" s="14" t="n">
        <x:v>257</x:v>
      </x:c>
      <x:c r="B258" s="18" t="str">
        <x:v>calculator game review</x:v>
      </x:c>
      <x:c r="C258" s="18" t="str">
        <x:v>informational</x:v>
      </x:c>
      <x:c r="D258" s="26" t="n">
        <x:v>70</x:v>
      </x:c>
      <x:c r="E258" s="28" t="n">
        <x:v>0</x:v>
      </x:c>
      <x:c r="F258" s="14" t="n">
        <x:v>1</x:v>
      </x:c>
      <x:c r="G258" s="14" t="n">
        <x:v>39</x:v>
      </x:c>
      <x:c r="H258" s="14" t="str">
        <x:v>No</x:v>
      </x:c>
      <x:c r="I258" s="18" t="str">
        <x:v>App/product/brand/navigation/media intent rather than a calculation</x:v>
      </x:c>
      <x:c r="J258" s="18" t="str">
        <x:v>Excluded / Non-calculator</x:v>
      </x:c>
      <x:c r="K258" s="18" t="str"/>
      <x:c r="L258" s="18" t="n">
        <x:v>0</x:v>
      </x:c>
      <x:c r="M258" s="18" t="str"/>
      <x:c r="N258" s="18" t="str"/>
      <x:c r="O258" s="18" t="str"/>
      <x:c r="P258" s="30" t="n">
        <x:f>MAX(0,100-G258)</x:f>
        <x:v>61</x:v>
      </x:c>
      <x:c r="Q258" s="30" t="n">
        <x:f>MIN(100,ROUND(LOG10(D258+1)*18,0))</x:f>
        <x:v>33</x:v>
      </x:c>
      <x:c r="R258" s="30" t="n">
        <x:f>MIN(100,ROUND(E258*12,0))</x:f>
        <x:v>0</x:v>
      </x:c>
      <x:c r="S258" s="30" t="n">
        <x:f>IF(H258="No",0,ROUND(P258*0.45+Q258*0.30+R258*0.15+IF(M258="Easy",10,IF(M258="Medium",6,2))+IF(N258="High",5,IF(N258="Medium",3,0)),1))</x:f>
        <x:v>0</x:v>
      </x:c>
      <x:c r="T258" s="14" t="str">
        <x:f>IF(H258="No","Exclude",IF(S258&gt;=70,"Priority 1",IF(S258&gt;=55,"Priority 2",IF(S258&gt;=40,"Priority 3","Low priority"))))</x:f>
        <x:v>Exclude</x:v>
      </x:c>
    </x:row>
    <x:row r="259">
      <x:c r="A259" s="14" t="n">
        <x:v>258</x:v>
      </x:c>
      <x:c r="B259" s="18" t="str">
        <x:v>calculator register</x:v>
      </x:c>
      <x:c r="C259" s="18" t="str">
        <x:v>navigational, commercial</x:v>
      </x:c>
      <x:c r="D259" s="26" t="n">
        <x:v>30</x:v>
      </x:c>
      <x:c r="E259" s="28" t="n">
        <x:v>0.26</x:v>
      </x:c>
      <x:c r="F259" s="14" t="n">
        <x:v>37</x:v>
      </x:c>
      <x:c r="G259" s="14" t="n">
        <x:v>39</x:v>
      </x:c>
      <x:c r="H259" s="14" t="str">
        <x:v>No</x:v>
      </x:c>
      <x:c r="I259" s="18" t="str">
        <x:v>App/product/brand/navigation/media intent rather than a calculation</x:v>
      </x:c>
      <x:c r="J259" s="18" t="str">
        <x:v>Excluded / Non-calculator</x:v>
      </x:c>
      <x:c r="K259" s="18" t="str"/>
      <x:c r="L259" s="18" t="n">
        <x:v>0</x:v>
      </x:c>
      <x:c r="M259" s="18" t="str"/>
      <x:c r="N259" s="18" t="str"/>
      <x:c r="O259" s="18" t="str"/>
      <x:c r="P259" s="30" t="n">
        <x:f>MAX(0,100-G259)</x:f>
        <x:v>61</x:v>
      </x:c>
      <x:c r="Q259" s="30" t="n">
        <x:f>MIN(100,ROUND(LOG10(D259+1)*18,0))</x:f>
        <x:v>27</x:v>
      </x:c>
      <x:c r="R259" s="30" t="n">
        <x:f>MIN(100,ROUND(E259*12,0))</x:f>
        <x:v>3</x:v>
      </x:c>
      <x:c r="S259" s="30" t="n">
        <x:f>IF(H259="No",0,ROUND(P259*0.45+Q259*0.30+R259*0.15+IF(M259="Easy",10,IF(M259="Medium",6,2))+IF(N259="High",5,IF(N259="Medium",3,0)),1))</x:f>
        <x:v>0</x:v>
      </x:c>
      <x:c r="T259" s="14" t="str">
        <x:f>IF(H259="No","Exclude",IF(S259&gt;=70,"Priority 1",IF(S259&gt;=55,"Priority 2",IF(S259&gt;=40,"Priority 3","Low priority"))))</x:f>
        <x:v>Exclude</x:v>
      </x:c>
    </x:row>
    <x:row r="260">
      <x:c r="A260" s="14" t="n">
        <x:v>259</x:v>
      </x:c>
      <x:c r="B260" s="18" t="str">
        <x:v>calculator discount</x:v>
      </x:c>
      <x:c r="C260" s="18" t="str">
        <x:v>commercial, informational</x:v>
      </x:c>
      <x:c r="D260" s="26" t="n">
        <x:v>40500</x:v>
      </x:c>
      <x:c r="E260" s="28" t="n">
        <x:v>6.89</x:v>
      </x:c>
      <x:c r="F260" s="14" t="n">
        <x:v>1</x:v>
      </x:c>
      <x:c r="G260" s="14" t="n">
        <x:v>40</x:v>
      </x:c>
      <x:c r="H260" s="14" t="str">
        <x:v>Yes</x:v>
      </x:c>
      <x:c r="I260" s="18" t="str">
        <x:v>Clear calculation, conversion, estimation, or formula intent</x:v>
      </x:c>
      <x:c r="J260" s="18" t="str">
        <x:v>Math &amp; Education</x:v>
      </x:c>
      <x:c r="K260" s="18" t="str">
        <x:v>Discount/percentage-off calculator</x:v>
      </x:c>
      <x:c r="L260" s="18" t="n">
        <x:v>3</x:v>
      </x:c>
      <x:c r="M260" s="18" t="str">
        <x:v>Easy</x:v>
      </x:c>
      <x:c r="N260" s="18" t="str">
        <x:v>Medium</x:v>
      </x:c>
      <x:c r="O260" s="18" t="str">
        <x:v>Ads / EdTech</x:v>
      </x:c>
      <x:c r="P260" s="30" t="n">
        <x:f>MAX(0,100-G260)</x:f>
        <x:v>60</x:v>
      </x:c>
      <x:c r="Q260" s="30" t="n">
        <x:f>MIN(100,ROUND(LOG10(D260+1)*18,0))</x:f>
        <x:v>83</x:v>
      </x:c>
      <x:c r="R260" s="30" t="n">
        <x:f>MIN(100,ROUND(E260*12,0))</x:f>
        <x:v>83</x:v>
      </x:c>
      <x:c r="S260" s="30" t="n">
        <x:f>IF(H260="No",0,ROUND(P260*0.45+Q260*0.30+R260*0.15+IF(M260="Easy",10,IF(M260="Medium",6,2))+IF(N260="High",5,IF(N260="Medium",3,0)),1))</x:f>
        <x:v>77.4</x:v>
      </x:c>
      <x:c r="T260" s="14" t="str">
        <x:f>IF(H260="No","Exclude",IF(S260&gt;=70,"Priority 1",IF(S260&gt;=55,"Priority 2",IF(S260&gt;=40,"Priority 3","Low priority"))))</x:f>
        <x:v>Priority 1</x:v>
      </x:c>
    </x:row>
    <x:row r="261">
      <x:c r="A261" s="14" t="n">
        <x:v>260</x:v>
      </x:c>
      <x:c r="B261" s="18" t="str">
        <x:v>calculator 1 rep max</x:v>
      </x:c>
      <x:c r="C261" s="18" t="str">
        <x:v>informational</x:v>
      </x:c>
      <x:c r="D261" s="26" t="n">
        <x:v>320</x:v>
      </x:c>
      <x:c r="E261" s="28" t="n">
        <x:v>0</x:v>
      </x:c>
      <x:c r="F261" s="14" t="n">
        <x:v>1</x:v>
      </x:c>
      <x:c r="G261" s="14" t="n">
        <x:v>40</x:v>
      </x:c>
      <x:c r="H261" s="14" t="str">
        <x:v>Yes</x:v>
      </x:c>
      <x:c r="I261" s="18" t="str">
        <x:v>Clear calculation, conversion, estimation, or formula intent</x:v>
      </x:c>
      <x:c r="J261" s="18" t="str">
        <x:v>Health, Nutrition &amp; Fitness</x:v>
      </x:c>
      <x:c r="K261" s="18" t="str">
        <x:v>1 Rep Max calculator</x:v>
      </x:c>
      <x:c r="L261" s="18" t="n">
        <x:v>1</x:v>
      </x:c>
      <x:c r="M261" s="18" t="str">
        <x:v>Easy</x:v>
      </x:c>
      <x:c r="N261" s="18" t="str">
        <x:v>Medium</x:v>
      </x:c>
      <x:c r="O261" s="18" t="str">
        <x:v>Ads / Affiliate</x:v>
      </x:c>
      <x:c r="P261" s="30" t="n">
        <x:f>MAX(0,100-G261)</x:f>
        <x:v>60</x:v>
      </x:c>
      <x:c r="Q261" s="30" t="n">
        <x:f>MIN(100,ROUND(LOG10(D261+1)*18,0))</x:f>
        <x:v>45</x:v>
      </x:c>
      <x:c r="R261" s="30" t="n">
        <x:f>MIN(100,ROUND(E261*12,0))</x:f>
        <x:v>0</x:v>
      </x:c>
      <x:c r="S261" s="30" t="n">
        <x:f>IF(H261="No",0,ROUND(P261*0.45+Q261*0.30+R261*0.15+IF(M261="Easy",10,IF(M261="Medium",6,2))+IF(N261="High",5,IF(N261="Medium",3,0)),1))</x:f>
        <x:v>53.5</x:v>
      </x:c>
      <x:c r="T261" s="14" t="str">
        <x:f>IF(H261="No","Exclude",IF(S261&gt;=70,"Priority 1",IF(S261&gt;=55,"Priority 2",IF(S261&gt;=40,"Priority 3","Low priority"))))</x:f>
        <x:v>Priority 3</x:v>
      </x:c>
    </x:row>
    <x:row r="262">
      <x:c r="A262" s="14" t="n">
        <x:v>261</x:v>
      </x:c>
      <x:c r="B262" s="18" t="str">
        <x:v>calculator to pay off mortgage early</x:v>
      </x:c>
      <x:c r="C262" s="18" t="str">
        <x:v>informational, navigational</x:v>
      </x:c>
      <x:c r="D262" s="26" t="n">
        <x:v>27100</x:v>
      </x:c>
      <x:c r="E262" s="28" t="n">
        <x:v>0.95</x:v>
      </x:c>
      <x:c r="F262" s="14" t="n">
        <x:v>6</x:v>
      </x:c>
      <x:c r="G262" s="14" t="n">
        <x:v>41</x:v>
      </x:c>
      <x:c r="H262" s="14" t="str">
        <x:v>Yes</x:v>
      </x:c>
      <x:c r="I262" s="18" t="str">
        <x:v>Clear calculation, conversion, estimation, or formula intent</x:v>
      </x:c>
      <x:c r="J262" s="18" t="str">
        <x:v>Mortgage &amp; Real Estate</x:v>
      </x:c>
      <x:c r="K262" s="18" t="str">
        <x:v>Mortgage payment calculator</x:v>
      </x:c>
      <x:c r="L262" s="18" t="n">
        <x:v>7</x:v>
      </x:c>
      <x:c r="M262" s="18" t="str">
        <x:v>Medium</x:v>
      </x:c>
      <x:c r="N262" s="18" t="str">
        <x:v>High</x:v>
      </x:c>
      <x:c r="O262" s="18" t="str">
        <x:v>Leads / Ads / Affiliate</x:v>
      </x:c>
      <x:c r="P262" s="30" t="n">
        <x:f>MAX(0,100-G262)</x:f>
        <x:v>59</x:v>
      </x:c>
      <x:c r="Q262" s="30" t="n">
        <x:f>MIN(100,ROUND(LOG10(D262+1)*18,0))</x:f>
        <x:v>80</x:v>
      </x:c>
      <x:c r="R262" s="30" t="n">
        <x:f>MIN(100,ROUND(E262*12,0))</x:f>
        <x:v>11</x:v>
      </x:c>
      <x:c r="S262" s="30" t="n">
        <x:f>IF(H262="No",0,ROUND(P262*0.45+Q262*0.30+R262*0.15+IF(M262="Easy",10,IF(M262="Medium",6,2))+IF(N262="High",5,IF(N262="Medium",3,0)),1))</x:f>
        <x:v>63.2</x:v>
      </x:c>
      <x:c r="T262" s="14" t="str">
        <x:f>IF(H262="No","Exclude",IF(S262&gt;=70,"Priority 1",IF(S262&gt;=55,"Priority 2",IF(S262&gt;=40,"Priority 3","Low priority"))))</x:f>
        <x:v>Priority 2</x:v>
      </x:c>
    </x:row>
    <x:row r="263">
      <x:c r="A263" s="14" t="n">
        <x:v>262</x:v>
      </x:c>
      <x:c r="B263" s="18" t="str">
        <x:v>calculator download</x:v>
      </x:c>
      <x:c r="C263" s="18" t="str">
        <x:v>transactional</x:v>
      </x:c>
      <x:c r="D263" s="26" t="n">
        <x:v>3600</x:v>
      </x:c>
      <x:c r="E263" s="28" t="n">
        <x:v>1.48</x:v>
      </x:c>
      <x:c r="F263" s="14" t="n">
        <x:v>9</x:v>
      </x:c>
      <x:c r="G263" s="14" t="n">
        <x:v>42</x:v>
      </x:c>
      <x:c r="H263" s="14" t="str">
        <x:v>No</x:v>
      </x:c>
      <x:c r="I263" s="18" t="str">
        <x:v>App/product/brand/navigation/media intent rather than a calculation</x:v>
      </x:c>
      <x:c r="J263" s="18" t="str">
        <x:v>Excluded / Non-calculator</x:v>
      </x:c>
      <x:c r="K263" s="18" t="str"/>
      <x:c r="L263" s="18" t="n">
        <x:v>0</x:v>
      </x:c>
      <x:c r="M263" s="18" t="str"/>
      <x:c r="N263" s="18" t="str"/>
      <x:c r="O263" s="18" t="str"/>
      <x:c r="P263" s="30" t="n">
        <x:f>MAX(0,100-G263)</x:f>
        <x:v>58</x:v>
      </x:c>
      <x:c r="Q263" s="30" t="n">
        <x:f>MIN(100,ROUND(LOG10(D263+1)*18,0))</x:f>
        <x:v>64</x:v>
      </x:c>
      <x:c r="R263" s="30" t="n">
        <x:f>MIN(100,ROUND(E263*12,0))</x:f>
        <x:v>18</x:v>
      </x:c>
      <x:c r="S263" s="30" t="n">
        <x:f>IF(H263="No",0,ROUND(P263*0.45+Q263*0.30+R263*0.15+IF(M263="Easy",10,IF(M263="Medium",6,2))+IF(N263="High",5,IF(N263="Medium",3,0)),1))</x:f>
        <x:v>0</x:v>
      </x:c>
      <x:c r="T263" s="14" t="str">
        <x:f>IF(H263="No","Exclude",IF(S263&gt;=70,"Priority 1",IF(S263&gt;=55,"Priority 2",IF(S263&gt;=40,"Priority 3","Low priority"))))</x:f>
        <x:v>Exclude</x:v>
      </x:c>
    </x:row>
    <x:row r="264">
      <x:c r="A264" s="14" t="n">
        <x:v>263</x:v>
      </x:c>
      <x:c r="B264" s="18" t="str">
        <x:v>calculator target</x:v>
      </x:c>
      <x:c r="C264" s="18" t="str">
        <x:v>navigational, commercial</x:v>
      </x:c>
      <x:c r="D264" s="26" t="n">
        <x:v>1900</x:v>
      </x:c>
      <x:c r="E264" s="28" t="n">
        <x:v>0.06</x:v>
      </x:c>
      <x:c r="F264" s="14" t="n">
        <x:v>96</x:v>
      </x:c>
      <x:c r="G264" s="14" t="n">
        <x:v>42</x:v>
      </x:c>
      <x:c r="H264" s="14" t="str">
        <x:v>No</x:v>
      </x:c>
      <x:c r="I264" s="18" t="str">
        <x:v>App/product/brand/navigation/media intent rather than a calculation</x:v>
      </x:c>
      <x:c r="J264" s="18" t="str">
        <x:v>Excluded / Non-calculator</x:v>
      </x:c>
      <x:c r="K264" s="18" t="str"/>
      <x:c r="L264" s="18" t="n">
        <x:v>0</x:v>
      </x:c>
      <x:c r="M264" s="18" t="str"/>
      <x:c r="N264" s="18" t="str"/>
      <x:c r="O264" s="18" t="str"/>
      <x:c r="P264" s="30" t="n">
        <x:f>MAX(0,100-G264)</x:f>
        <x:v>58</x:v>
      </x:c>
      <x:c r="Q264" s="30" t="n">
        <x:f>MIN(100,ROUND(LOG10(D264+1)*18,0))</x:f>
        <x:v>59</x:v>
      </x:c>
      <x:c r="R264" s="30" t="n">
        <x:f>MIN(100,ROUND(E264*12,0))</x:f>
        <x:v>1</x:v>
      </x:c>
      <x:c r="S264" s="30" t="n">
        <x:f>IF(H264="No",0,ROUND(P264*0.45+Q264*0.30+R264*0.15+IF(M264="Easy",10,IF(M264="Medium",6,2))+IF(N264="High",5,IF(N264="Medium",3,0)),1))</x:f>
        <x:v>0</x:v>
      </x:c>
      <x:c r="T264" s="14" t="str">
        <x:f>IF(H264="No","Exclude",IF(S264&gt;=70,"Priority 1",IF(S264&gt;=55,"Priority 2",IF(S264&gt;=40,"Priority 3","Low priority"))))</x:f>
        <x:v>Exclude</x:v>
      </x:c>
    </x:row>
    <x:row r="265">
      <x:c r="A265" s="14" t="n">
        <x:v>264</x:v>
      </x:c>
      <x:c r="B265" s="18" t="str">
        <x:v>calculator names</x:v>
      </x:c>
      <x:c r="C265" s="18" t="str">
        <x:v>informational, navigational</x:v>
      </x:c>
      <x:c r="D265" s="26" t="n">
        <x:v>1300</x:v>
      </x:c>
      <x:c r="E265" s="28" t="n">
        <x:v>4.87</x:v>
      </x:c>
      <x:c r="F265" s="14" t="n">
        <x:v>1</x:v>
      </x:c>
      <x:c r="G265" s="14" t="n">
        <x:v>42</x:v>
      </x:c>
      <x:c r="H265" s="14" t="str">
        <x:v>No</x:v>
      </x:c>
      <x:c r="I265" s="18" t="str">
        <x:v>App/product/brand/navigation/media intent rather than a calculation</x:v>
      </x:c>
      <x:c r="J265" s="18" t="str">
        <x:v>Excluded / Non-calculator</x:v>
      </x:c>
      <x:c r="K265" s="18" t="str"/>
      <x:c r="L265" s="18" t="n">
        <x:v>0</x:v>
      </x:c>
      <x:c r="M265" s="18" t="str"/>
      <x:c r="N265" s="18" t="str"/>
      <x:c r="O265" s="18" t="str"/>
      <x:c r="P265" s="30" t="n">
        <x:f>MAX(0,100-G265)</x:f>
        <x:v>58</x:v>
      </x:c>
      <x:c r="Q265" s="30" t="n">
        <x:f>MIN(100,ROUND(LOG10(D265+1)*18,0))</x:f>
        <x:v>56</x:v>
      </x:c>
      <x:c r="R265" s="30" t="n">
        <x:f>MIN(100,ROUND(E265*12,0))</x:f>
        <x:v>58</x:v>
      </x:c>
      <x:c r="S265" s="30" t="n">
        <x:f>IF(H265="No",0,ROUND(P265*0.45+Q265*0.30+R265*0.15+IF(M265="Easy",10,IF(M265="Medium",6,2))+IF(N265="High",5,IF(N265="Medium",3,0)),1))</x:f>
        <x:v>0</x:v>
      </x:c>
      <x:c r="T265" s="14" t="str">
        <x:f>IF(H265="No","Exclude",IF(S265&gt;=70,"Priority 1",IF(S265&gt;=55,"Priority 2",IF(S265&gt;=40,"Priority 3","Low priority"))))</x:f>
        <x:v>Exclude</x:v>
      </x:c>
    </x:row>
    <x:row r="266">
      <x:c r="A266" s="14" t="n">
        <x:v>265</x:v>
      </x:c>
      <x:c r="B266" s="18" t="str">
        <x:v>calculator exp</x:v>
      </x:c>
      <x:c r="C266" s="18" t="str">
        <x:v>informational</x:v>
      </x:c>
      <x:c r="D266" s="26" t="n">
        <x:v>170</x:v>
      </x:c>
      <x:c r="E266" s="28" t="n">
        <x:v>0</x:v>
      </x:c>
      <x:c r="F266" s="14" t="n">
        <x:v>1</x:v>
      </x:c>
      <x:c r="G266" s="14" t="n">
        <x:v>42</x:v>
      </x:c>
      <x:c r="H266" s="14" t="str">
        <x:v>Maybe</x:v>
      </x:c>
      <x:c r="I266" s="18" t="str">
        <x:v>Potential calculator intent, but keyword meaning is broad or ambiguous</x:v>
      </x:c>
      <x:c r="J266" s="18" t="str">
        <x:v>General / Other</x:v>
      </x:c>
      <x:c r="K266" s="18" t="str">
        <x:v>Exp calculator</x:v>
      </x:c>
      <x:c r="L266" s="18" t="n">
        <x:v>1</x:v>
      </x:c>
      <x:c r="M266" s="18" t="str">
        <x:v>Easy</x:v>
      </x:c>
      <x:c r="N266" s="18" t="str">
        <x:v>Medium</x:v>
      </x:c>
      <x:c r="O266" s="18" t="str">
        <x:v>Ads</x:v>
      </x:c>
      <x:c r="P266" s="30" t="n">
        <x:f>MAX(0,100-G266)</x:f>
        <x:v>58</x:v>
      </x:c>
      <x:c r="Q266" s="30" t="n">
        <x:f>MIN(100,ROUND(LOG10(D266+1)*18,0))</x:f>
        <x:v>40</x:v>
      </x:c>
      <x:c r="R266" s="30" t="n">
        <x:f>MIN(100,ROUND(E266*12,0))</x:f>
        <x:v>0</x:v>
      </x:c>
      <x:c r="S266" s="30" t="n">
        <x:f>IF(H266="No",0,ROUND(P266*0.45+Q266*0.30+R266*0.15+IF(M266="Easy",10,IF(M266="Medium",6,2))+IF(N266="High",5,IF(N266="Medium",3,0)),1))</x:f>
        <x:v>51.1</x:v>
      </x:c>
      <x:c r="T266" s="14" t="str">
        <x:f>IF(H266="No","Exclude",IF(S266&gt;=70,"Priority 1",IF(S266&gt;=55,"Priority 2",IF(S266&gt;=40,"Priority 3","Low priority"))))</x:f>
        <x:v>Priority 3</x:v>
      </x:c>
    </x:row>
    <x:row r="267">
      <x:c r="A267" s="14" t="n">
        <x:v>266</x:v>
      </x:c>
      <x:c r="B267" s="18" t="str">
        <x:v>calculator net tdee</x:v>
      </x:c>
      <x:c r="C267" s="18" t="str">
        <x:v>navigational, commercial</x:v>
      </x:c>
      <x:c r="D267" s="26" t="n">
        <x:v>90</x:v>
      </x:c>
      <x:c r="E267" s="28" t="n">
        <x:v>1.13</x:v>
      </x:c>
      <x:c r="F267" s="14" t="n">
        <x:v>2</x:v>
      </x:c>
      <x:c r="G267" s="14" t="n">
        <x:v>42</x:v>
      </x:c>
      <x:c r="H267" s="14" t="str">
        <x:v>Yes</x:v>
      </x:c>
      <x:c r="I267" s="18" t="str">
        <x:v>Clear calculation, conversion, estimation, or formula intent</x:v>
      </x:c>
      <x:c r="J267" s="18" t="str">
        <x:v>Health, Nutrition &amp; Fitness</x:v>
      </x:c>
      <x:c r="K267" s="18" t="str">
        <x:v>Net Tdee calculator</x:v>
      </x:c>
      <x:c r="L267" s="18" t="n">
        <x:v>1</x:v>
      </x:c>
      <x:c r="M267" s="18" t="str">
        <x:v>Medium</x:v>
      </x:c>
      <x:c r="N267" s="18" t="str">
        <x:v>Medium</x:v>
      </x:c>
      <x:c r="O267" s="18" t="str">
        <x:v>Ads / Affiliate</x:v>
      </x:c>
      <x:c r="P267" s="30" t="n">
        <x:f>MAX(0,100-G267)</x:f>
        <x:v>58</x:v>
      </x:c>
      <x:c r="Q267" s="30" t="n">
        <x:f>MIN(100,ROUND(LOG10(D267+1)*18,0))</x:f>
        <x:v>35</x:v>
      </x:c>
      <x:c r="R267" s="30" t="n">
        <x:f>MIN(100,ROUND(E267*12,0))</x:f>
        <x:v>14</x:v>
      </x:c>
      <x:c r="S267" s="30" t="n">
        <x:f>IF(H267="No",0,ROUND(P267*0.45+Q267*0.30+R267*0.15+IF(M267="Easy",10,IF(M267="Medium",6,2))+IF(N267="High",5,IF(N267="Medium",3,0)),1))</x:f>
        <x:v>47.7</x:v>
      </x:c>
      <x:c r="T267" s="14" t="str">
        <x:f>IF(H267="No","Exclude",IF(S267&gt;=70,"Priority 1",IF(S267&gt;=55,"Priority 2",IF(S267&gt;=40,"Priority 3","Low priority"))))</x:f>
        <x:v>Priority 3</x:v>
      </x:c>
    </x:row>
    <x:row r="268">
      <x:c r="A268" s="14" t="n">
        <x:v>267</x:v>
      </x:c>
      <x:c r="B268" s="18" t="str">
        <x:v>calculator explained</x:v>
      </x:c>
      <x:c r="C268" s="18" t="str">
        <x:v>informational</x:v>
      </x:c>
      <x:c r="D268" s="26" t="n">
        <x:v>50</x:v>
      </x:c>
      <x:c r="E268" s="28" t="n">
        <x:v>2.89</x:v>
      </x:c>
      <x:c r="F268" s="14" t="n">
        <x:v>1</x:v>
      </x:c>
      <x:c r="G268" s="14" t="n">
        <x:v>42</x:v>
      </x:c>
      <x:c r="H268" s="14" t="str">
        <x:v>No</x:v>
      </x:c>
      <x:c r="I268" s="18" t="str">
        <x:v>App/product/brand/navigation/media intent rather than a calculation</x:v>
      </x:c>
      <x:c r="J268" s="18" t="str">
        <x:v>Excluded / Non-calculator</x:v>
      </x:c>
      <x:c r="K268" s="18" t="str"/>
      <x:c r="L268" s="18" t="n">
        <x:v>0</x:v>
      </x:c>
      <x:c r="M268" s="18" t="str"/>
      <x:c r="N268" s="18" t="str"/>
      <x:c r="O268" s="18" t="str"/>
      <x:c r="P268" s="30" t="n">
        <x:f>MAX(0,100-G268)</x:f>
        <x:v>58</x:v>
      </x:c>
      <x:c r="Q268" s="30" t="n">
        <x:f>MIN(100,ROUND(LOG10(D268+1)*18,0))</x:f>
        <x:v>31</x:v>
      </x:c>
      <x:c r="R268" s="30" t="n">
        <x:f>MIN(100,ROUND(E268*12,0))</x:f>
        <x:v>35</x:v>
      </x:c>
      <x:c r="S268" s="30" t="n">
        <x:f>IF(H268="No",0,ROUND(P268*0.45+Q268*0.30+R268*0.15+IF(M268="Easy",10,IF(M268="Medium",6,2))+IF(N268="High",5,IF(N268="Medium",3,0)),1))</x:f>
        <x:v>0</x:v>
      </x:c>
      <x:c r="T268" s="14" t="str">
        <x:f>IF(H268="No","Exclude",IF(S268&gt;=70,"Priority 1",IF(S268&gt;=55,"Priority 2",IF(S268&gt;=40,"Priority 3","Low priority"))))</x:f>
        <x:v>Exclude</x:v>
      </x:c>
    </x:row>
    <x:row r="269">
      <x:c r="A269" s="14" t="n">
        <x:v>268</x:v>
      </x:c>
      <x:c r="B269" s="18" t="str">
        <x:v>calculator for concrete</x:v>
      </x:c>
      <x:c r="C269" s="18" t="str">
        <x:v>null</x:v>
      </x:c>
      <x:c r="D269" s="26" t="n">
        <x:v>550000</x:v>
      </x:c>
      <x:c r="E269" s="28" t="n">
        <x:v>1.59</x:v>
      </x:c>
      <x:c r="F269" s="14" t="n">
        <x:v>3</x:v>
      </x:c>
      <x:c r="G269" s="14" t="n">
        <x:v>43</x:v>
      </x:c>
      <x:c r="H269" s="14" t="str">
        <x:v>Yes</x:v>
      </x:c>
      <x:c r="I269" s="18" t="str">
        <x:v>Clear calculation, conversion, estimation, or formula intent</x:v>
      </x:c>
      <x:c r="J269" s="18" t="str">
        <x:v>Construction &amp; Home Improvement</x:v>
      </x:c>
      <x:c r="K269" s="18" t="str">
        <x:v>Concrete calculator</x:v>
      </x:c>
      <x:c r="L269" s="18" t="n">
        <x:v>1</x:v>
      </x:c>
      <x:c r="M269" s="18" t="str">
        <x:v>Medium</x:v>
      </x:c>
      <x:c r="N269" s="18" t="str">
        <x:v>Medium</x:v>
      </x:c>
      <x:c r="O269" s="18" t="str">
        <x:v>Ads / Local leads / Affiliate</x:v>
      </x:c>
      <x:c r="P269" s="30" t="n">
        <x:f>MAX(0,100-G269)</x:f>
        <x:v>57</x:v>
      </x:c>
      <x:c r="Q269" s="30" t="n">
        <x:f>MIN(100,ROUND(LOG10(D269+1)*18,0))</x:f>
        <x:v>100</x:v>
      </x:c>
      <x:c r="R269" s="30" t="n">
        <x:f>MIN(100,ROUND(E269*12,0))</x:f>
        <x:v>19</x:v>
      </x:c>
      <x:c r="S269" s="30" t="n">
        <x:f>IF(H269="No",0,ROUND(P269*0.45+Q269*0.30+R269*0.15+IF(M269="Easy",10,IF(M269="Medium",6,2))+IF(N269="High",5,IF(N269="Medium",3,0)),1))</x:f>
        <x:v>67.5</x:v>
      </x:c>
      <x:c r="T269" s="14" t="str">
        <x:f>IF(H269="No","Exclude",IF(S269&gt;=70,"Priority 1",IF(S269&gt;=55,"Priority 2",IF(S269&gt;=40,"Priority 3","Low priority"))))</x:f>
        <x:v>Priority 2</x:v>
      </x:c>
    </x:row>
    <x:row r="270">
      <x:c r="A270" s="14" t="n">
        <x:v>269</x:v>
      </x:c>
      <x:c r="B270" s="18" t="str">
        <x:v>calculator on my phone</x:v>
      </x:c>
      <x:c r="C270" s="18" t="str">
        <x:v>informational</x:v>
      </x:c>
      <x:c r="D270" s="26" t="n">
        <x:v>2900</x:v>
      </x:c>
      <x:c r="E270" s="28" t="n">
        <x:v>1.45</x:v>
      </x:c>
      <x:c r="F270" s="14" t="n">
        <x:v>32</x:v>
      </x:c>
      <x:c r="G270" s="14" t="n">
        <x:v>43</x:v>
      </x:c>
      <x:c r="H270" s="14" t="str">
        <x:v>No</x:v>
      </x:c>
      <x:c r="I270" s="18" t="str">
        <x:v>App/product/brand/navigation/media intent rather than a calculation</x:v>
      </x:c>
      <x:c r="J270" s="18" t="str">
        <x:v>Excluded / Non-calculator</x:v>
      </x:c>
      <x:c r="K270" s="18" t="str"/>
      <x:c r="L270" s="18" t="n">
        <x:v>0</x:v>
      </x:c>
      <x:c r="M270" s="18" t="str"/>
      <x:c r="N270" s="18" t="str"/>
      <x:c r="O270" s="18" t="str"/>
      <x:c r="P270" s="30" t="n">
        <x:f>MAX(0,100-G270)</x:f>
        <x:v>57</x:v>
      </x:c>
      <x:c r="Q270" s="30" t="n">
        <x:f>MIN(100,ROUND(LOG10(D270+1)*18,0))</x:f>
        <x:v>62</x:v>
      </x:c>
      <x:c r="R270" s="30" t="n">
        <x:f>MIN(100,ROUND(E270*12,0))</x:f>
        <x:v>17</x:v>
      </x:c>
      <x:c r="S270" s="30" t="n">
        <x:f>IF(H270="No",0,ROUND(P270*0.45+Q270*0.30+R270*0.15+IF(M270="Easy",10,IF(M270="Medium",6,2))+IF(N270="High",5,IF(N270="Medium",3,0)),1))</x:f>
        <x:v>0</x:v>
      </x:c>
      <x:c r="T270" s="14" t="str">
        <x:f>IF(H270="No","Exclude",IF(S270&gt;=70,"Priority 1",IF(S270&gt;=55,"Priority 2",IF(S270&gt;=40,"Priority 3","Low priority"))))</x:f>
        <x:v>Exclude</x:v>
      </x:c>
    </x:row>
    <x:row r="271">
      <x:c r="A271" s="14" t="n">
        <x:v>270</x:v>
      </x:c>
      <x:c r="B271" s="18" t="str">
        <x:v>calculator years between two dates</x:v>
      </x:c>
      <x:c r="C271" s="18" t="str">
        <x:v>informational</x:v>
      </x:c>
      <x:c r="D271" s="26" t="n">
        <x:v>480</x:v>
      </x:c>
      <x:c r="E271" s="28" t="n">
        <x:v>0.98</x:v>
      </x:c>
      <x:c r="F271" s="14" t="n">
        <x:v>2</x:v>
      </x:c>
      <x:c r="G271" s="14" t="n">
        <x:v>43</x:v>
      </x:c>
      <x:c r="H271" s="14" t="str">
        <x:v>Yes</x:v>
      </x:c>
      <x:c r="I271" s="18" t="str">
        <x:v>Clear calculation, conversion, estimation, or formula intent</x:v>
      </x:c>
      <x:c r="J271" s="18" t="str">
        <x:v>Date &amp; Time</x:v>
      </x:c>
      <x:c r="K271" s="18" t="str">
        <x:v>Date difference calculator</x:v>
      </x:c>
      <x:c r="L271" s="18" t="n">
        <x:v>4</x:v>
      </x:c>
      <x:c r="M271" s="18" t="str">
        <x:v>Easy</x:v>
      </x:c>
      <x:c r="N271" s="18" t="str">
        <x:v>Medium</x:v>
      </x:c>
      <x:c r="O271" s="18" t="str">
        <x:v>Ads</x:v>
      </x:c>
      <x:c r="P271" s="30" t="n">
        <x:f>MAX(0,100-G271)</x:f>
        <x:v>57</x:v>
      </x:c>
      <x:c r="Q271" s="30" t="n">
        <x:f>MIN(100,ROUND(LOG10(D271+1)*18,0))</x:f>
        <x:v>48</x:v>
      </x:c>
      <x:c r="R271" s="30" t="n">
        <x:f>MIN(100,ROUND(E271*12,0))</x:f>
        <x:v>12</x:v>
      </x:c>
      <x:c r="S271" s="30" t="n">
        <x:f>IF(H271="No",0,ROUND(P271*0.45+Q271*0.30+R271*0.15+IF(M271="Easy",10,IF(M271="Medium",6,2))+IF(N271="High",5,IF(N271="Medium",3,0)),1))</x:f>
        <x:v>54.9</x:v>
      </x:c>
      <x:c r="T271" s="14" t="str">
        <x:f>IF(H271="No","Exclude",IF(S271&gt;=70,"Priority 1",IF(S271&gt;=55,"Priority 2",IF(S271&gt;=40,"Priority 3","Low priority"))))</x:f>
        <x:v>Priority 3</x:v>
      </x:c>
    </x:row>
    <x:row r="272">
      <x:c r="A272" s="14" t="n">
        <x:v>271</x:v>
      </x:c>
      <x:c r="B272" s="18" t="str">
        <x:v>calculator app download</x:v>
      </x:c>
      <x:c r="C272" s="18" t="str">
        <x:v>navigational</x:v>
      </x:c>
      <x:c r="D272" s="26" t="n">
        <x:v>1900</x:v>
      </x:c>
      <x:c r="E272" s="28" t="n">
        <x:v>2.15</x:v>
      </x:c>
      <x:c r="F272" s="14" t="n">
        <x:v>30</x:v>
      </x:c>
      <x:c r="G272" s="14" t="n">
        <x:v>44</x:v>
      </x:c>
      <x:c r="H272" s="14" t="str">
        <x:v>No</x:v>
      </x:c>
      <x:c r="I272" s="18" t="str">
        <x:v>App/product/brand/navigation/media intent rather than a calculation</x:v>
      </x:c>
      <x:c r="J272" s="18" t="str">
        <x:v>Excluded / Non-calculator</x:v>
      </x:c>
      <x:c r="K272" s="18" t="str"/>
      <x:c r="L272" s="18" t="n">
        <x:v>0</x:v>
      </x:c>
      <x:c r="M272" s="18" t="str"/>
      <x:c r="N272" s="18" t="str"/>
      <x:c r="O272" s="18" t="str"/>
      <x:c r="P272" s="30" t="n">
        <x:f>MAX(0,100-G272)</x:f>
        <x:v>56</x:v>
      </x:c>
      <x:c r="Q272" s="30" t="n">
        <x:f>MIN(100,ROUND(LOG10(D272+1)*18,0))</x:f>
        <x:v>59</x:v>
      </x:c>
      <x:c r="R272" s="30" t="n">
        <x:f>MIN(100,ROUND(E272*12,0))</x:f>
        <x:v>26</x:v>
      </x:c>
      <x:c r="S272" s="30" t="n">
        <x:f>IF(H272="No",0,ROUND(P272*0.45+Q272*0.30+R272*0.15+IF(M272="Easy",10,IF(M272="Medium",6,2))+IF(N272="High",5,IF(N272="Medium",3,0)),1))</x:f>
        <x:v>0</x:v>
      </x:c>
      <x:c r="T272" s="14" t="str">
        <x:f>IF(H272="No","Exclude",IF(S272&gt;=70,"Priority 1",IF(S272&gt;=55,"Priority 2",IF(S272&gt;=40,"Priority 3","Low priority"))))</x:f>
        <x:v>Exclude</x:v>
      </x:c>
    </x:row>
    <x:row r="273">
      <x:c r="A273" s="14" t="n">
        <x:v>272</x:v>
      </x:c>
      <x:c r="B273" s="18" t="str">
        <x:v>calculator history</x:v>
      </x:c>
      <x:c r="C273" s="18" t="str">
        <x:v>informational</x:v>
      </x:c>
      <x:c r="D273" s="26" t="n">
        <x:v>590</x:v>
      </x:c>
      <x:c r="E273" s="28" t="n">
        <x:v>2.26</x:v>
      </x:c>
      <x:c r="F273" s="14" t="n">
        <x:v>1</x:v>
      </x:c>
      <x:c r="G273" s="14" t="n">
        <x:v>44</x:v>
      </x:c>
      <x:c r="H273" s="14" t="str">
        <x:v>No</x:v>
      </x:c>
      <x:c r="I273" s="18" t="str">
        <x:v>App/product/brand/navigation/media intent rather than a calculation</x:v>
      </x:c>
      <x:c r="J273" s="18" t="str">
        <x:v>Excluded / Non-calculator</x:v>
      </x:c>
      <x:c r="K273" s="18" t="str"/>
      <x:c r="L273" s="18" t="n">
        <x:v>0</x:v>
      </x:c>
      <x:c r="M273" s="18" t="str"/>
      <x:c r="N273" s="18" t="str"/>
      <x:c r="O273" s="18" t="str"/>
      <x:c r="P273" s="30" t="n">
        <x:f>MAX(0,100-G273)</x:f>
        <x:v>56</x:v>
      </x:c>
      <x:c r="Q273" s="30" t="n">
        <x:f>MIN(100,ROUND(LOG10(D273+1)*18,0))</x:f>
        <x:v>50</x:v>
      </x:c>
      <x:c r="R273" s="30" t="n">
        <x:f>MIN(100,ROUND(E273*12,0))</x:f>
        <x:v>27</x:v>
      </x:c>
      <x:c r="S273" s="30" t="n">
        <x:f>IF(H273="No",0,ROUND(P273*0.45+Q273*0.30+R273*0.15+IF(M273="Easy",10,IF(M273="Medium",6,2))+IF(N273="High",5,IF(N273="Medium",3,0)),1))</x:f>
        <x:v>0</x:v>
      </x:c>
      <x:c r="T273" s="14" t="str">
        <x:f>IF(H273="No","Exclude",IF(S273&gt;=70,"Priority 1",IF(S273&gt;=55,"Priority 2",IF(S273&gt;=40,"Priority 3","Low priority"))))</x:f>
        <x:v>Exclude</x:v>
      </x:c>
    </x:row>
    <x:row r="274">
      <x:c r="A274" s="14" t="n">
        <x:v>273</x:v>
      </x:c>
      <x:c r="B274" s="18" t="str">
        <x:v>calculator photo vault</x:v>
      </x:c>
      <x:c r="C274" s="18" t="str">
        <x:v>navigational, informational</x:v>
      </x:c>
      <x:c r="D274" s="26" t="n">
        <x:v>590</x:v>
      </x:c>
      <x:c r="E274" s="28" t="n">
        <x:v>0.68</x:v>
      </x:c>
      <x:c r="F274" s="14" t="n">
        <x:v>6</x:v>
      </x:c>
      <x:c r="G274" s="14" t="n">
        <x:v>44</x:v>
      </x:c>
      <x:c r="H274" s="14" t="str">
        <x:v>No</x:v>
      </x:c>
      <x:c r="I274" s="18" t="str">
        <x:v>App/product/brand/navigation/media intent rather than a calculation</x:v>
      </x:c>
      <x:c r="J274" s="18" t="str">
        <x:v>Excluded / Non-calculator</x:v>
      </x:c>
      <x:c r="K274" s="18" t="str"/>
      <x:c r="L274" s="18" t="n">
        <x:v>0</x:v>
      </x:c>
      <x:c r="M274" s="18" t="str"/>
      <x:c r="N274" s="18" t="str"/>
      <x:c r="O274" s="18" t="str"/>
      <x:c r="P274" s="30" t="n">
        <x:f>MAX(0,100-G274)</x:f>
        <x:v>56</x:v>
      </x:c>
      <x:c r="Q274" s="30" t="n">
        <x:f>MIN(100,ROUND(LOG10(D274+1)*18,0))</x:f>
        <x:v>50</x:v>
      </x:c>
      <x:c r="R274" s="30" t="n">
        <x:f>MIN(100,ROUND(E274*12,0))</x:f>
        <x:v>8</x:v>
      </x:c>
      <x:c r="S274" s="30" t="n">
        <x:f>IF(H274="No",0,ROUND(P274*0.45+Q274*0.30+R274*0.15+IF(M274="Easy",10,IF(M274="Medium",6,2))+IF(N274="High",5,IF(N274="Medium",3,0)),1))</x:f>
        <x:v>0</x:v>
      </x:c>
      <x:c r="T274" s="14" t="str">
        <x:f>IF(H274="No","Exclude",IF(S274&gt;=70,"Priority 1",IF(S274&gt;=55,"Priority 2",IF(S274&gt;=40,"Priority 3","Low priority"))))</x:f>
        <x:v>Exclude</x:v>
      </x:c>
    </x:row>
    <x:row r="275">
      <x:c r="A275" s="14" t="n">
        <x:v>274</x:v>
      </x:c>
      <x:c r="B275" s="18" t="str">
        <x:v>calculator 84 app</x:v>
      </x:c>
      <x:c r="C275" s="18" t="str">
        <x:v>transactional, informational, navigational</x:v>
      </x:c>
      <x:c r="D275" s="26" t="n">
        <x:v>140</x:v>
      </x:c>
      <x:c r="E275" s="28" t="n">
        <x:v>0.55</x:v>
      </x:c>
      <x:c r="F275" s="14" t="n">
        <x:v>3</x:v>
      </x:c>
      <x:c r="G275" s="14" t="n">
        <x:v>44</x:v>
      </x:c>
      <x:c r="H275" s="14" t="str">
        <x:v>No</x:v>
      </x:c>
      <x:c r="I275" s="18" t="str">
        <x:v>App/product/brand/navigation/media intent rather than a calculation</x:v>
      </x:c>
      <x:c r="J275" s="18" t="str">
        <x:v>Excluded / Non-calculator</x:v>
      </x:c>
      <x:c r="K275" s="18" t="str"/>
      <x:c r="L275" s="18" t="n">
        <x:v>0</x:v>
      </x:c>
      <x:c r="M275" s="18" t="str"/>
      <x:c r="N275" s="18" t="str"/>
      <x:c r="O275" s="18" t="str"/>
      <x:c r="P275" s="30" t="n">
        <x:f>MAX(0,100-G275)</x:f>
        <x:v>56</x:v>
      </x:c>
      <x:c r="Q275" s="30" t="n">
        <x:f>MIN(100,ROUND(LOG10(D275+1)*18,0))</x:f>
        <x:v>39</x:v>
      </x:c>
      <x:c r="R275" s="30" t="n">
        <x:f>MIN(100,ROUND(E275*12,0))</x:f>
        <x:v>7</x:v>
      </x:c>
      <x:c r="S275" s="30" t="n">
        <x:f>IF(H275="No",0,ROUND(P275*0.45+Q275*0.30+R275*0.15+IF(M275="Easy",10,IF(M275="Medium",6,2))+IF(N275="High",5,IF(N275="Medium",3,0)),1))</x:f>
        <x:v>0</x:v>
      </x:c>
      <x:c r="T275" s="14" t="str">
        <x:f>IF(H275="No","Exclude",IF(S275&gt;=70,"Priority 1",IF(S275&gt;=55,"Priority 2",IF(S275&gt;=40,"Priority 3","Low priority"))))</x:f>
        <x:v>Exclude</x:v>
      </x:c>
    </x:row>
    <x:row r="276">
      <x:c r="A276" s="14" t="n">
        <x:v>275</x:v>
      </x:c>
      <x:c r="B276" s="18" t="str">
        <x:v>calculator uscis</x:v>
      </x:c>
      <x:c r="C276" s="18" t="str">
        <x:v>informational, navigational</x:v>
      </x:c>
      <x:c r="D276" s="26" t="n">
        <x:v>70</x:v>
      </x:c>
      <x:c r="E276" s="28" t="n">
        <x:v>0</x:v>
      </x:c>
      <x:c r="F276" s="14" t="n">
        <x:v>1</x:v>
      </x:c>
      <x:c r="G276" s="14" t="n">
        <x:v>44</x:v>
      </x:c>
      <x:c r="H276" s="14" t="str">
        <x:v>Yes</x:v>
      </x:c>
      <x:c r="I276" s="18" t="str">
        <x:v>Clear calculation, conversion, estimation, or formula intent</x:v>
      </x:c>
      <x:c r="J276" s="18" t="str">
        <x:v>Government &amp; Benefits</x:v>
      </x:c>
      <x:c r="K276" s="18" t="str">
        <x:v>Uscis calculator</x:v>
      </x:c>
      <x:c r="L276" s="18" t="n">
        <x:v>1</x:v>
      </x:c>
      <x:c r="M276" s="18" t="str">
        <x:v>Complex</x:v>
      </x:c>
      <x:c r="N276" s="18" t="str">
        <x:v>High</x:v>
      </x:c>
      <x:c r="O276" s="18" t="str">
        <x:v>Ads</x:v>
      </x:c>
      <x:c r="P276" s="30" t="n">
        <x:f>MAX(0,100-G276)</x:f>
        <x:v>56</x:v>
      </x:c>
      <x:c r="Q276" s="30" t="n">
        <x:f>MIN(100,ROUND(LOG10(D276+1)*18,0))</x:f>
        <x:v>33</x:v>
      </x:c>
      <x:c r="R276" s="30" t="n">
        <x:f>MIN(100,ROUND(E276*12,0))</x:f>
        <x:v>0</x:v>
      </x:c>
      <x:c r="S276" s="30" t="n">
        <x:f>IF(H276="No",0,ROUND(P276*0.45+Q276*0.30+R276*0.15+IF(M276="Easy",10,IF(M276="Medium",6,2))+IF(N276="High",5,IF(N276="Medium",3,0)),1))</x:f>
        <x:v>42.1</x:v>
      </x:c>
      <x:c r="T276" s="14" t="str">
        <x:f>IF(H276="No","Exclude",IF(S276&gt;=70,"Priority 1",IF(S276&gt;=55,"Priority 2",IF(S276&gt;=40,"Priority 3","Low priority"))))</x:f>
        <x:v>Priority 3</x:v>
      </x:c>
    </x:row>
    <x:row r="277">
      <x:c r="A277" s="14" t="n">
        <x:v>276</x:v>
      </x:c>
      <x:c r="B277" s="18" t="str">
        <x:v>calculator vault iphone</x:v>
      </x:c>
      <x:c r="C277" s="18" t="str">
        <x:v>informational, navigational</x:v>
      </x:c>
      <x:c r="D277" s="26" t="n">
        <x:v>70</x:v>
      </x:c>
      <x:c r="E277" s="28" t="n">
        <x:v>0</x:v>
      </x:c>
      <x:c r="F277" s="14" t="n">
        <x:v>1</x:v>
      </x:c>
      <x:c r="G277" s="14" t="n">
        <x:v>44</x:v>
      </x:c>
      <x:c r="H277" s="14" t="str">
        <x:v>No</x:v>
      </x:c>
      <x:c r="I277" s="18" t="str">
        <x:v>App/product/brand/navigation/media intent rather than a calculation</x:v>
      </x:c>
      <x:c r="J277" s="18" t="str">
        <x:v>Excluded / Non-calculator</x:v>
      </x:c>
      <x:c r="K277" s="18" t="str"/>
      <x:c r="L277" s="18" t="n">
        <x:v>0</x:v>
      </x:c>
      <x:c r="M277" s="18" t="str"/>
      <x:c r="N277" s="18" t="str"/>
      <x:c r="O277" s="18" t="str"/>
      <x:c r="P277" s="30" t="n">
        <x:f>MAX(0,100-G277)</x:f>
        <x:v>56</x:v>
      </x:c>
      <x:c r="Q277" s="30" t="n">
        <x:f>MIN(100,ROUND(LOG10(D277+1)*18,0))</x:f>
        <x:v>33</x:v>
      </x:c>
      <x:c r="R277" s="30" t="n">
        <x:f>MIN(100,ROUND(E277*12,0))</x:f>
        <x:v>0</x:v>
      </x:c>
      <x:c r="S277" s="30" t="n">
        <x:f>IF(H277="No",0,ROUND(P277*0.45+Q277*0.30+R277*0.15+IF(M277="Easy",10,IF(M277="Medium",6,2))+IF(N277="High",5,IF(N277="Medium",3,0)),1))</x:f>
        <x:v>0</x:v>
      </x:c>
      <x:c r="T277" s="14" t="str">
        <x:f>IF(H277="No","Exclude",IF(S277&gt;=70,"Priority 1",IF(S277&gt;=55,"Priority 2",IF(S277&gt;=40,"Priority 3","Low priority"))))</x:f>
        <x:v>Exclude</x:v>
      </x:c>
    </x:row>
    <x:row r="278">
      <x:c r="A278" s="14" t="n">
        <x:v>277</x:v>
      </x:c>
      <x:c r="B278" s="18" t="str">
        <x:v>calculator roth ira</x:v>
      </x:c>
      <x:c r="C278" s="18" t="str">
        <x:v>commercial, navigational</x:v>
      </x:c>
      <x:c r="D278" s="26" t="n">
        <x:v>135000</x:v>
      </x:c>
      <x:c r="E278" s="28" t="n">
        <x:v>2.12</x:v>
      </x:c>
      <x:c r="F278" s="14" t="n">
        <x:v>19</x:v>
      </x:c>
      <x:c r="G278" s="14" t="n">
        <x:v>45</x:v>
      </x:c>
      <x:c r="H278" s="14" t="str">
        <x:v>Yes</x:v>
      </x:c>
      <x:c r="I278" s="18" t="str">
        <x:v>Clear calculation, conversion, estimation, or formula intent</x:v>
      </x:c>
      <x:c r="J278" s="18" t="str">
        <x:v>Personal Finance &amp; Investing</x:v>
      </x:c>
      <x:c r="K278" s="18" t="str">
        <x:v>Roth Ira calculator</x:v>
      </x:c>
      <x:c r="L278" s="18" t="n">
        <x:v>1</x:v>
      </x:c>
      <x:c r="M278" s="18" t="str">
        <x:v>Medium</x:v>
      </x:c>
      <x:c r="N278" s="18" t="str">
        <x:v>High</x:v>
      </x:c>
      <x:c r="O278" s="18" t="str">
        <x:v>Ads / Leads / Affiliate</x:v>
      </x:c>
      <x:c r="P278" s="30" t="n">
        <x:f>MAX(0,100-G278)</x:f>
        <x:v>55</x:v>
      </x:c>
      <x:c r="Q278" s="30" t="n">
        <x:f>MIN(100,ROUND(LOG10(D278+1)*18,0))</x:f>
        <x:v>92</x:v>
      </x:c>
      <x:c r="R278" s="30" t="n">
        <x:f>MIN(100,ROUND(E278*12,0))</x:f>
        <x:v>25</x:v>
      </x:c>
      <x:c r="S278" s="30" t="n">
        <x:f>IF(H278="No",0,ROUND(P278*0.45+Q278*0.30+R278*0.15+IF(M278="Easy",10,IF(M278="Medium",6,2))+IF(N278="High",5,IF(N278="Medium",3,0)),1))</x:f>
        <x:v>67.1</x:v>
      </x:c>
      <x:c r="T278" s="14" t="str">
        <x:f>IF(H278="No","Exclude",IF(S278&gt;=70,"Priority 1",IF(S278&gt;=55,"Priority 2",IF(S278&gt;=40,"Priority 3","Low priority"))))</x:f>
        <x:v>Priority 2</x:v>
      </x:c>
    </x:row>
    <x:row r="279">
      <x:c r="A279" s="14" t="n">
        <x:v>278</x:v>
      </x:c>
      <x:c r="B279" s="18" t="str">
        <x:v>calculator days</x:v>
      </x:c>
      <x:c r="C279" s="18" t="str">
        <x:v>null</x:v>
      </x:c>
      <x:c r="D279" s="26" t="n">
        <x:v>90500</x:v>
      </x:c>
      <x:c r="E279" s="28" t="n">
        <x:v>0.29</x:v>
      </x:c>
      <x:c r="F279" s="14" t="n">
        <x:v>1</x:v>
      </x:c>
      <x:c r="G279" s="14" t="n">
        <x:v>45</x:v>
      </x:c>
      <x:c r="H279" s="14" t="str">
        <x:v>Yes</x:v>
      </x:c>
      <x:c r="I279" s="18" t="str">
        <x:v>Clear calculation, conversion, estimation, or formula intent</x:v>
      </x:c>
      <x:c r="J279" s="18" t="str">
        <x:v>Date &amp; Time</x:v>
      </x:c>
      <x:c r="K279" s="18" t="str">
        <x:v>Days calculator</x:v>
      </x:c>
      <x:c r="L279" s="18" t="n">
        <x:v>1</x:v>
      </x:c>
      <x:c r="M279" s="18" t="str">
        <x:v>Easy</x:v>
      </x:c>
      <x:c r="N279" s="18" t="str">
        <x:v>Medium</x:v>
      </x:c>
      <x:c r="O279" s="18" t="str">
        <x:v>Ads</x:v>
      </x:c>
      <x:c r="P279" s="30" t="n">
        <x:f>MAX(0,100-G279)</x:f>
        <x:v>55</x:v>
      </x:c>
      <x:c r="Q279" s="30" t="n">
        <x:f>MIN(100,ROUND(LOG10(D279+1)*18,0))</x:f>
        <x:v>89</x:v>
      </x:c>
      <x:c r="R279" s="30" t="n">
        <x:f>MIN(100,ROUND(E279*12,0))</x:f>
        <x:v>3</x:v>
      </x:c>
      <x:c r="S279" s="30" t="n">
        <x:f>IF(H279="No",0,ROUND(P279*0.45+Q279*0.30+R279*0.15+IF(M279="Easy",10,IF(M279="Medium",6,2))+IF(N279="High",5,IF(N279="Medium",3,0)),1))</x:f>
        <x:v>64.9</x:v>
      </x:c>
      <x:c r="T279" s="14" t="str">
        <x:f>IF(H279="No","Exclude",IF(S279&gt;=70,"Priority 1",IF(S279&gt;=55,"Priority 2",IF(S279&gt;=40,"Priority 3","Low priority"))))</x:f>
        <x:v>Priority 2</x:v>
      </x:c>
    </x:row>
    <x:row r="280">
      <x:c r="A280" s="14" t="n">
        <x:v>279</x:v>
      </x:c>
      <x:c r="B280" s="18" t="str">
        <x:v>calculator home equity loan</x:v>
      </x:c>
      <x:c r="C280" s="18" t="str">
        <x:v>null</x:v>
      </x:c>
      <x:c r="D280" s="26" t="n">
        <x:v>74000</x:v>
      </x:c>
      <x:c r="E280" s="28" t="n">
        <x:v>8.13</x:v>
      </x:c>
      <x:c r="F280" s="14" t="n">
        <x:v>59</x:v>
      </x:c>
      <x:c r="G280" s="14" t="n">
        <x:v>45</x:v>
      </x:c>
      <x:c r="H280" s="14" t="str">
        <x:v>Yes</x:v>
      </x:c>
      <x:c r="I280" s="18" t="str">
        <x:v>Clear calculation, conversion, estimation, or formula intent</x:v>
      </x:c>
      <x:c r="J280" s="18" t="str">
        <x:v>Mortgage &amp; Real Estate</x:v>
      </x:c>
      <x:c r="K280" s="18" t="str">
        <x:v>Home Equity Loan calculator</x:v>
      </x:c>
      <x:c r="L280" s="18" t="n">
        <x:v>1</x:v>
      </x:c>
      <x:c r="M280" s="18" t="str">
        <x:v>Complex</x:v>
      </x:c>
      <x:c r="N280" s="18" t="str">
        <x:v>High</x:v>
      </x:c>
      <x:c r="O280" s="18" t="str">
        <x:v>Leads / Ads / Affiliate</x:v>
      </x:c>
      <x:c r="P280" s="30" t="n">
        <x:f>MAX(0,100-G280)</x:f>
        <x:v>55</x:v>
      </x:c>
      <x:c r="Q280" s="30" t="n">
        <x:f>MIN(100,ROUND(LOG10(D280+1)*18,0))</x:f>
        <x:v>88</x:v>
      </x:c>
      <x:c r="R280" s="30" t="n">
        <x:f>MIN(100,ROUND(E280*12,0))</x:f>
        <x:v>98</x:v>
      </x:c>
      <x:c r="S280" s="30" t="n">
        <x:f>IF(H280="No",0,ROUND(P280*0.45+Q280*0.30+R280*0.15+IF(M280="Easy",10,IF(M280="Medium",6,2))+IF(N280="High",5,IF(N280="Medium",3,0)),1))</x:f>
        <x:v>72.9</x:v>
      </x:c>
      <x:c r="T280" s="14" t="str">
        <x:f>IF(H280="No","Exclude",IF(S280&gt;=70,"Priority 1",IF(S280&gt;=55,"Priority 2",IF(S280&gt;=40,"Priority 3","Low priority"))))</x:f>
        <x:v>Priority 1</x:v>
      </x:c>
    </x:row>
    <x:row r="281">
      <x:c r="A281" s="14" t="n">
        <x:v>280</x:v>
      </x:c>
      <x:c r="B281" s="18" t="str">
        <x:v>calculator scientific</x:v>
      </x:c>
      <x:c r="C281" s="18" t="str">
        <x:v>informational</x:v>
      </x:c>
      <x:c r="D281" s="26" t="n">
        <x:v>8100</x:v>
      </x:c>
      <x:c r="E281" s="28" t="n">
        <x:v>0.95</x:v>
      </x:c>
      <x:c r="F281" s="14" t="n">
        <x:v>13</x:v>
      </x:c>
      <x:c r="G281" s="14" t="n">
        <x:v>45</x:v>
      </x:c>
      <x:c r="H281" s="14" t="str">
        <x:v>Yes</x:v>
      </x:c>
      <x:c r="I281" s="18" t="str">
        <x:v>Clear calculation, conversion, estimation, or formula intent</x:v>
      </x:c>
      <x:c r="J281" s="18" t="str">
        <x:v>Math &amp; Education</x:v>
      </x:c>
      <x:c r="K281" s="18" t="str">
        <x:v>Scientific calculator</x:v>
      </x:c>
      <x:c r="L281" s="18" t="n">
        <x:v>2</x:v>
      </x:c>
      <x:c r="M281" s="18" t="str">
        <x:v>Easy</x:v>
      </x:c>
      <x:c r="N281" s="18" t="str">
        <x:v>Medium</x:v>
      </x:c>
      <x:c r="O281" s="18" t="str">
        <x:v>Ads / EdTech</x:v>
      </x:c>
      <x:c r="P281" s="30" t="n">
        <x:f>MAX(0,100-G281)</x:f>
        <x:v>55</x:v>
      </x:c>
      <x:c r="Q281" s="30" t="n">
        <x:f>MIN(100,ROUND(LOG10(D281+1)*18,0))</x:f>
        <x:v>70</x:v>
      </x:c>
      <x:c r="R281" s="30" t="n">
        <x:f>MIN(100,ROUND(E281*12,0))</x:f>
        <x:v>11</x:v>
      </x:c>
      <x:c r="S281" s="30" t="n">
        <x:f>IF(H281="No",0,ROUND(P281*0.45+Q281*0.30+R281*0.15+IF(M281="Easy",10,IF(M281="Medium",6,2))+IF(N281="High",5,IF(N281="Medium",3,0)),1))</x:f>
        <x:v>60.4</x:v>
      </x:c>
      <x:c r="T281" s="14" t="str">
        <x:f>IF(H281="No","Exclude",IF(S281&gt;=70,"Priority 1",IF(S281&gt;=55,"Priority 2",IF(S281&gt;=40,"Priority 3","Low priority"))))</x:f>
        <x:v>Priority 2</x:v>
      </x:c>
    </x:row>
    <x:row r="282">
      <x:c r="A282" s="14" t="n">
        <x:v>281</x:v>
      </x:c>
      <x:c r="B282" s="18" t="str">
        <x:v>calculator hidden apps</x:v>
      </x:c>
      <x:c r="C282" s="18" t="str">
        <x:v>navigational, commercial</x:v>
      </x:c>
      <x:c r="D282" s="26" t="n">
        <x:v>3600</x:v>
      </x:c>
      <x:c r="E282" s="28" t="n">
        <x:v>1.19</x:v>
      </x:c>
      <x:c r="F282" s="14" t="n">
        <x:v>3</x:v>
      </x:c>
      <x:c r="G282" s="14" t="n">
        <x:v>45</x:v>
      </x:c>
      <x:c r="H282" s="14" t="str">
        <x:v>No</x:v>
      </x:c>
      <x:c r="I282" s="18" t="str">
        <x:v>App/product/brand/navigation/media intent rather than a calculation</x:v>
      </x:c>
      <x:c r="J282" s="18" t="str">
        <x:v>Excluded / Non-calculator</x:v>
      </x:c>
      <x:c r="K282" s="18" t="str"/>
      <x:c r="L282" s="18" t="n">
        <x:v>0</x:v>
      </x:c>
      <x:c r="M282" s="18" t="str"/>
      <x:c r="N282" s="18" t="str"/>
      <x:c r="O282" s="18" t="str"/>
      <x:c r="P282" s="30" t="n">
        <x:f>MAX(0,100-G282)</x:f>
        <x:v>55</x:v>
      </x:c>
      <x:c r="Q282" s="30" t="n">
        <x:f>MIN(100,ROUND(LOG10(D282+1)*18,0))</x:f>
        <x:v>64</x:v>
      </x:c>
      <x:c r="R282" s="30" t="n">
        <x:f>MIN(100,ROUND(E282*12,0))</x:f>
        <x:v>14</x:v>
      </x:c>
      <x:c r="S282" s="30" t="n">
        <x:f>IF(H282="No",0,ROUND(P282*0.45+Q282*0.30+R282*0.15+IF(M282="Easy",10,IF(M282="Medium",6,2))+IF(N282="High",5,IF(N282="Medium",3,0)),1))</x:f>
        <x:v>0</x:v>
      </x:c>
      <x:c r="T282" s="14" t="str">
        <x:f>IF(H282="No","Exclude",IF(S282&gt;=70,"Priority 1",IF(S282&gt;=55,"Priority 2",IF(S282&gt;=40,"Priority 3","Low priority"))))</x:f>
        <x:v>Exclude</x:v>
      </x:c>
    </x:row>
    <x:row r="283">
      <x:c r="A283" s="14" t="n">
        <x:v>282</x:v>
      </x:c>
      <x:c r="B283" s="18" t="str">
        <x:v>calculator quick key</x:v>
      </x:c>
      <x:c r="C283" s="18" t="str">
        <x:v>commercial, navigational</x:v>
      </x:c>
      <x:c r="D283" s="26" t="n">
        <x:v>30</x:v>
      </x:c>
      <x:c r="E283" s="28" t="n">
        <x:v>0</x:v>
      </x:c>
      <x:c r="F283" s="14" t="n">
        <x:v>1</x:v>
      </x:c>
      <x:c r="G283" s="14" t="n">
        <x:v>45</x:v>
      </x:c>
      <x:c r="H283" s="14" t="str">
        <x:v>Maybe</x:v>
      </x:c>
      <x:c r="I283" s="18" t="str">
        <x:v>Insufficiently specific; requires SERP validation before development</x:v>
      </x:c>
      <x:c r="J283" s="18" t="str">
        <x:v>General / Other</x:v>
      </x:c>
      <x:c r="K283" s="18" t="str">
        <x:v>Quick Key calculator</x:v>
      </x:c>
      <x:c r="L283" s="18" t="n">
        <x:v>1</x:v>
      </x:c>
      <x:c r="M283" s="18" t="str">
        <x:v>Easy</x:v>
      </x:c>
      <x:c r="N283" s="18" t="str">
        <x:v>Medium</x:v>
      </x:c>
      <x:c r="O283" s="18" t="str">
        <x:v>Ads</x:v>
      </x:c>
      <x:c r="P283" s="30" t="n">
        <x:f>MAX(0,100-G283)</x:f>
        <x:v>55</x:v>
      </x:c>
      <x:c r="Q283" s="30" t="n">
        <x:f>MIN(100,ROUND(LOG10(D283+1)*18,0))</x:f>
        <x:v>27</x:v>
      </x:c>
      <x:c r="R283" s="30" t="n">
        <x:f>MIN(100,ROUND(E283*12,0))</x:f>
        <x:v>0</x:v>
      </x:c>
      <x:c r="S283" s="30" t="n">
        <x:f>IF(H283="No",0,ROUND(P283*0.45+Q283*0.30+R283*0.15+IF(M283="Easy",10,IF(M283="Medium",6,2))+IF(N283="High",5,IF(N283="Medium",3,0)),1))</x:f>
        <x:v>45.9</x:v>
      </x:c>
      <x:c r="T283" s="14" t="str">
        <x:f>IF(H283="No","Exclude",IF(S283&gt;=70,"Priority 1",IF(S283&gt;=55,"Priority 2",IF(S283&gt;=40,"Priority 3","Low priority"))))</x:f>
        <x:v>Priority 3</x:v>
      </x:c>
    </x:row>
    <x:row r="284">
      <x:c r="A284" s="14" t="n">
        <x:v>283</x:v>
      </x:c>
      <x:c r="B284" s="18" t="str">
        <x:v>calculator 991</x:v>
      </x:c>
      <x:c r="C284" s="18" t="str">
        <x:v>null</x:v>
      </x:c>
      <x:c r="D284" s="26" t="n">
        <x:v>20</x:v>
      </x:c>
      <x:c r="E284" s="28" t="n">
        <x:v>0</x:v>
      </x:c>
      <x:c r="F284" s="14" t="n">
        <x:v>89</x:v>
      </x:c>
      <x:c r="G284" s="14" t="n">
        <x:v>45</x:v>
      </x:c>
      <x:c r="H284" s="14" t="str">
        <x:v>No</x:v>
      </x:c>
      <x:c r="I284" s="18" t="str">
        <x:v>Model/number query, not a distinct web calculator</x:v>
      </x:c>
      <x:c r="J284" s="18" t="str">
        <x:v>Excluded / Non-calculator</x:v>
      </x:c>
      <x:c r="K284" s="18" t="str"/>
      <x:c r="L284" s="18" t="n">
        <x:v>0</x:v>
      </x:c>
      <x:c r="M284" s="18" t="str"/>
      <x:c r="N284" s="18" t="str"/>
      <x:c r="O284" s="18" t="str"/>
      <x:c r="P284" s="30" t="n">
        <x:f>MAX(0,100-G284)</x:f>
        <x:v>55</x:v>
      </x:c>
      <x:c r="Q284" s="30" t="n">
        <x:f>MIN(100,ROUND(LOG10(D284+1)*18,0))</x:f>
        <x:v>24</x:v>
      </x:c>
      <x:c r="R284" s="30" t="n">
        <x:f>MIN(100,ROUND(E284*12,0))</x:f>
        <x:v>0</x:v>
      </x:c>
      <x:c r="S284" s="30" t="n">
        <x:f>IF(H284="No",0,ROUND(P284*0.45+Q284*0.30+R284*0.15+IF(M284="Easy",10,IF(M284="Medium",6,2))+IF(N284="High",5,IF(N284="Medium",3,0)),1))</x:f>
        <x:v>0</x:v>
      </x:c>
      <x:c r="T284" s="14" t="str">
        <x:f>IF(H284="No","Exclude",IF(S284&gt;=70,"Priority 1",IF(S284&gt;=55,"Priority 2",IF(S284&gt;=40,"Priority 3","Low priority"))))</x:f>
        <x:v>Exclude</x:v>
      </x:c>
    </x:row>
    <x:row r="285">
      <x:c r="A285" s="14" t="n">
        <x:v>284</x:v>
      </x:c>
      <x:c r="B285" s="18" t="str">
        <x:v>calculator maintenance calories</x:v>
      </x:c>
      <x:c r="C285" s="18" t="str">
        <x:v>null</x:v>
      </x:c>
      <x:c r="D285" s="26" t="n">
        <x:v>110000</x:v>
      </x:c>
      <x:c r="E285" s="28" t="n">
        <x:v>0.06</x:v>
      </x:c>
      <x:c r="F285" s="14" t="n">
        <x:v>13</x:v>
      </x:c>
      <x:c r="G285" s="14" t="n">
        <x:v>46</x:v>
      </x:c>
      <x:c r="H285" s="14" t="str">
        <x:v>Yes</x:v>
      </x:c>
      <x:c r="I285" s="18" t="str">
        <x:v>Clear calculation, conversion, estimation, or formula intent</x:v>
      </x:c>
      <x:c r="J285" s="18" t="str">
        <x:v>Health, Nutrition &amp; Fitness</x:v>
      </x:c>
      <x:c r="K285" s="18" t="str">
        <x:v>Calorie calculator</x:v>
      </x:c>
      <x:c r="L285" s="18" t="n">
        <x:v>3</x:v>
      </x:c>
      <x:c r="M285" s="18" t="str">
        <x:v>Easy</x:v>
      </x:c>
      <x:c r="N285" s="18" t="str">
        <x:v>Medium</x:v>
      </x:c>
      <x:c r="O285" s="18" t="str">
        <x:v>Ads / Affiliate</x:v>
      </x:c>
      <x:c r="P285" s="30" t="n">
        <x:f>MAX(0,100-G285)</x:f>
        <x:v>54</x:v>
      </x:c>
      <x:c r="Q285" s="30" t="n">
        <x:f>MIN(100,ROUND(LOG10(D285+1)*18,0))</x:f>
        <x:v>91</x:v>
      </x:c>
      <x:c r="R285" s="30" t="n">
        <x:f>MIN(100,ROUND(E285*12,0))</x:f>
        <x:v>1</x:v>
      </x:c>
      <x:c r="S285" s="30" t="n">
        <x:f>IF(H285="No",0,ROUND(P285*0.45+Q285*0.30+R285*0.15+IF(M285="Easy",10,IF(M285="Medium",6,2))+IF(N285="High",5,IF(N285="Medium",3,0)),1))</x:f>
        <x:v>64.8</x:v>
      </x:c>
      <x:c r="T285" s="14" t="str">
        <x:f>IF(H285="No","Exclude",IF(S285&gt;=70,"Priority 1",IF(S285&gt;=55,"Priority 2",IF(S285&gt;=40,"Priority 3","Low priority"))))</x:f>
        <x:v>Priority 2</x:v>
      </x:c>
    </x:row>
    <x:row r="286">
      <x:c r="A286" s="14" t="n">
        <x:v>285</x:v>
      </x:c>
      <x:c r="B286" s="18" t="str">
        <x:v>calculator gold</x:v>
      </x:c>
      <x:c r="C286" s="18" t="str">
        <x:v>navigational, commercial</x:v>
      </x:c>
      <x:c r="D286" s="26" t="n">
        <x:v>49500</x:v>
      </x:c>
      <x:c r="E286" s="28" t="n">
        <x:v>1.53</x:v>
      </x:c>
      <x:c r="F286" s="14" t="n">
        <x:v>4</x:v>
      </x:c>
      <x:c r="G286" s="14" t="n">
        <x:v>46</x:v>
      </x:c>
      <x:c r="H286" s="14" t="str">
        <x:v>Yes</x:v>
      </x:c>
      <x:c r="I286" s="18" t="str">
        <x:v>Clear calculation, conversion, estimation, or formula intent</x:v>
      </x:c>
      <x:c r="J286" s="18" t="str">
        <x:v>Lifestyle &amp; Entertainment</x:v>
      </x:c>
      <x:c r="K286" s="18" t="str">
        <x:v>Gold calculator</x:v>
      </x:c>
      <x:c r="L286" s="18" t="n">
        <x:v>1</x:v>
      </x:c>
      <x:c r="M286" s="18" t="str">
        <x:v>Easy</x:v>
      </x:c>
      <x:c r="N286" s="18" t="str">
        <x:v>Medium</x:v>
      </x:c>
      <x:c r="O286" s="18" t="str">
        <x:v>Ads</x:v>
      </x:c>
      <x:c r="P286" s="30" t="n">
        <x:f>MAX(0,100-G286)</x:f>
        <x:v>54</x:v>
      </x:c>
      <x:c r="Q286" s="30" t="n">
        <x:f>MIN(100,ROUND(LOG10(D286+1)*18,0))</x:f>
        <x:v>85</x:v>
      </x:c>
      <x:c r="R286" s="30" t="n">
        <x:f>MIN(100,ROUND(E286*12,0))</x:f>
        <x:v>18</x:v>
      </x:c>
      <x:c r="S286" s="30" t="n">
        <x:f>IF(H286="No",0,ROUND(P286*0.45+Q286*0.30+R286*0.15+IF(M286="Easy",10,IF(M286="Medium",6,2))+IF(N286="High",5,IF(N286="Medium",3,0)),1))</x:f>
        <x:v>65.5</x:v>
      </x:c>
      <x:c r="T286" s="14" t="str">
        <x:f>IF(H286="No","Exclude",IF(S286&gt;=70,"Priority 1",IF(S286&gt;=55,"Priority 2",IF(S286&gt;=40,"Priority 3","Low priority"))))</x:f>
        <x:v>Priority 2</x:v>
      </x:c>
    </x:row>
    <x:row r="287">
      <x:c r="A287" s="14" t="n">
        <x:v>286</x:v>
      </x:c>
      <x:c r="B287" s="18" t="str">
        <x:v>calculator ebay</x:v>
      </x:c>
      <x:c r="C287" s="18" t="str">
        <x:v>navigational, commercial</x:v>
      </x:c>
      <x:c r="D287" s="26" t="n">
        <x:v>14800</x:v>
      </x:c>
      <x:c r="E287" s="28" t="n">
        <x:v>0.13</x:v>
      </x:c>
      <x:c r="F287" s="14" t="n">
        <x:v>1</x:v>
      </x:c>
      <x:c r="G287" s="14" t="n">
        <x:v>46</x:v>
      </x:c>
      <x:c r="H287" s="14" t="str">
        <x:v>No</x:v>
      </x:c>
      <x:c r="I287" s="18" t="str">
        <x:v>App/product/brand/navigation/media intent rather than a calculation</x:v>
      </x:c>
      <x:c r="J287" s="18" t="str">
        <x:v>Excluded / Non-calculator</x:v>
      </x:c>
      <x:c r="K287" s="18" t="str"/>
      <x:c r="L287" s="18" t="n">
        <x:v>0</x:v>
      </x:c>
      <x:c r="M287" s="18" t="str"/>
      <x:c r="N287" s="18" t="str"/>
      <x:c r="O287" s="18" t="str"/>
      <x:c r="P287" s="30" t="n">
        <x:f>MAX(0,100-G287)</x:f>
        <x:v>54</x:v>
      </x:c>
      <x:c r="Q287" s="30" t="n">
        <x:f>MIN(100,ROUND(LOG10(D287+1)*18,0))</x:f>
        <x:v>75</x:v>
      </x:c>
      <x:c r="R287" s="30" t="n">
        <x:f>MIN(100,ROUND(E287*12,0))</x:f>
        <x:v>2</x:v>
      </x:c>
      <x:c r="S287" s="30" t="n">
        <x:f>IF(H287="No",0,ROUND(P287*0.45+Q287*0.30+R287*0.15+IF(M287="Easy",10,IF(M287="Medium",6,2))+IF(N287="High",5,IF(N287="Medium",3,0)),1))</x:f>
        <x:v>0</x:v>
      </x:c>
      <x:c r="T287" s="14" t="str">
        <x:f>IF(H287="No","Exclude",IF(S287&gt;=70,"Priority 1",IF(S287&gt;=55,"Priority 2",IF(S287&gt;=40,"Priority 3","Low priority"))))</x:f>
        <x:v>Exclude</x:v>
      </x:c>
    </x:row>
    <x:row r="288">
      <x:c r="A288" s="14" t="n">
        <x:v>287</x:v>
      </x:c>
      <x:c r="B288" s="18" t="str">
        <x:v>calculator quadratic</x:v>
      </x:c>
      <x:c r="C288" s="18" t="str">
        <x:v>informational, transactional</x:v>
      </x:c>
      <x:c r="D288" s="26" t="n">
        <x:v>4400</x:v>
      </x:c>
      <x:c r="E288" s="28" t="n">
        <x:v>3.01</x:v>
      </x:c>
      <x:c r="F288" s="14" t="n">
        <x:v>1</x:v>
      </x:c>
      <x:c r="G288" s="14" t="n">
        <x:v>46</x:v>
      </x:c>
      <x:c r="H288" s="14" t="str">
        <x:v>Yes</x:v>
      </x:c>
      <x:c r="I288" s="18" t="str">
        <x:v>Clear calculation, conversion, estimation, or formula intent</x:v>
      </x:c>
      <x:c r="J288" s="18" t="str">
        <x:v>Math &amp; Education</x:v>
      </x:c>
      <x:c r="K288" s="18" t="str">
        <x:v>Quadratic equation calculator</x:v>
      </x:c>
      <x:c r="L288" s="18" t="n">
        <x:v>3</x:v>
      </x:c>
      <x:c r="M288" s="18" t="str">
        <x:v>Easy</x:v>
      </x:c>
      <x:c r="N288" s="18" t="str">
        <x:v>Medium</x:v>
      </x:c>
      <x:c r="O288" s="18" t="str">
        <x:v>Ads / EdTech</x:v>
      </x:c>
      <x:c r="P288" s="30" t="n">
        <x:f>MAX(0,100-G288)</x:f>
        <x:v>54</x:v>
      </x:c>
      <x:c r="Q288" s="30" t="n">
        <x:f>MIN(100,ROUND(LOG10(D288+1)*18,0))</x:f>
        <x:v>66</x:v>
      </x:c>
      <x:c r="R288" s="30" t="n">
        <x:f>MIN(100,ROUND(E288*12,0))</x:f>
        <x:v>36</x:v>
      </x:c>
      <x:c r="S288" s="30" t="n">
        <x:f>IF(H288="No",0,ROUND(P288*0.45+Q288*0.30+R288*0.15+IF(M288="Easy",10,IF(M288="Medium",6,2))+IF(N288="High",5,IF(N288="Medium",3,0)),1))</x:f>
        <x:v>62.5</x:v>
      </x:c>
      <x:c r="T288" s="14" t="str">
        <x:f>IF(H288="No","Exclude",IF(S288&gt;=70,"Priority 1",IF(S288&gt;=55,"Priority 2",IF(S288&gt;=40,"Priority 3","Low priority"))))</x:f>
        <x:v>Priority 2</x:v>
      </x:c>
    </x:row>
    <x:row r="289">
      <x:c r="A289" s="14" t="n">
        <x:v>288</x:v>
      </x:c>
      <x:c r="B289" s="18" t="str">
        <x:v>calculator price</x:v>
      </x:c>
      <x:c r="C289" s="18" t="str">
        <x:v>informational</x:v>
      </x:c>
      <x:c r="D289" s="26" t="n">
        <x:v>2400</x:v>
      </x:c>
      <x:c r="E289" s="28" t="n">
        <x:v>0.59</x:v>
      </x:c>
      <x:c r="F289" s="14" t="n">
        <x:v>42</x:v>
      </x:c>
      <x:c r="G289" s="14" t="n">
        <x:v>46</x:v>
      </x:c>
      <x:c r="H289" s="14" t="str">
        <x:v>Maybe</x:v>
      </x:c>
      <x:c r="I289" s="18" t="str">
        <x:v>Potential calculator intent, but keyword meaning is broad or ambiguous</x:v>
      </x:c>
      <x:c r="J289" s="18" t="str">
        <x:v>General / Other</x:v>
      </x:c>
      <x:c r="K289" s="18" t="str">
        <x:v>Price calculator</x:v>
      </x:c>
      <x:c r="L289" s="18" t="n">
        <x:v>1</x:v>
      </x:c>
      <x:c r="M289" s="18" t="str">
        <x:v>Easy</x:v>
      </x:c>
      <x:c r="N289" s="18" t="str">
        <x:v>Medium</x:v>
      </x:c>
      <x:c r="O289" s="18" t="str">
        <x:v>Ads</x:v>
      </x:c>
      <x:c r="P289" s="30" t="n">
        <x:f>MAX(0,100-G289)</x:f>
        <x:v>54</x:v>
      </x:c>
      <x:c r="Q289" s="30" t="n">
        <x:f>MIN(100,ROUND(LOG10(D289+1)*18,0))</x:f>
        <x:v>61</x:v>
      </x:c>
      <x:c r="R289" s="30" t="n">
        <x:f>MIN(100,ROUND(E289*12,0))</x:f>
        <x:v>7</x:v>
      </x:c>
      <x:c r="S289" s="30" t="n">
        <x:f>IF(H289="No",0,ROUND(P289*0.45+Q289*0.30+R289*0.15+IF(M289="Easy",10,IF(M289="Medium",6,2))+IF(N289="High",5,IF(N289="Medium",3,0)),1))</x:f>
        <x:v>56.7</x:v>
      </x:c>
      <x:c r="T289" s="14" t="str">
        <x:f>IF(H289="No","Exclude",IF(S289&gt;=70,"Priority 1",IF(S289&gt;=55,"Priority 2",IF(S289&gt;=40,"Priority 3","Low priority"))))</x:f>
        <x:v>Priority 2</x:v>
      </x:c>
    </x:row>
    <x:row r="290">
      <x:c r="A290" s="14" t="n">
        <x:v>289</x:v>
      </x:c>
      <x:c r="B290" s="18" t="str">
        <x:v>calculator paper</x:v>
      </x:c>
      <x:c r="C290" s="18" t="str">
        <x:v>navigational, commercial</x:v>
      </x:c>
      <x:c r="D290" s="26" t="n">
        <x:v>590</x:v>
      </x:c>
      <x:c r="E290" s="28" t="n">
        <x:v>1.55</x:v>
      </x:c>
      <x:c r="F290" s="14" t="n">
        <x:v>61</x:v>
      </x:c>
      <x:c r="G290" s="14" t="n">
        <x:v>46</x:v>
      </x:c>
      <x:c r="H290" s="14" t="str">
        <x:v>Maybe</x:v>
      </x:c>
      <x:c r="I290" s="18" t="str">
        <x:v>Insufficiently specific; requires SERP validation before development</x:v>
      </x:c>
      <x:c r="J290" s="18" t="str">
        <x:v>General / Other</x:v>
      </x:c>
      <x:c r="K290" s="18" t="str">
        <x:v>Paper calculator</x:v>
      </x:c>
      <x:c r="L290" s="18" t="n">
        <x:v>1</x:v>
      </x:c>
      <x:c r="M290" s="18" t="str">
        <x:v>Easy</x:v>
      </x:c>
      <x:c r="N290" s="18" t="str">
        <x:v>Medium</x:v>
      </x:c>
      <x:c r="O290" s="18" t="str">
        <x:v>Ads</x:v>
      </x:c>
      <x:c r="P290" s="30" t="n">
        <x:f>MAX(0,100-G290)</x:f>
        <x:v>54</x:v>
      </x:c>
      <x:c r="Q290" s="30" t="n">
        <x:f>MIN(100,ROUND(LOG10(D290+1)*18,0))</x:f>
        <x:v>50</x:v>
      </x:c>
      <x:c r="R290" s="30" t="n">
        <x:f>MIN(100,ROUND(E290*12,0))</x:f>
        <x:v>19</x:v>
      </x:c>
      <x:c r="S290" s="30" t="n">
        <x:f>IF(H290="No",0,ROUND(P290*0.45+Q290*0.30+R290*0.15+IF(M290="Easy",10,IF(M290="Medium",6,2))+IF(N290="High",5,IF(N290="Medium",3,0)),1))</x:f>
        <x:v>55.2</x:v>
      </x:c>
      <x:c r="T290" s="14" t="str">
        <x:f>IF(H290="No","Exclude",IF(S290&gt;=70,"Priority 1",IF(S290&gt;=55,"Priority 2",IF(S290&gt;=40,"Priority 3","Low priority"))))</x:f>
        <x:v>Priority 2</x:v>
      </x:c>
    </x:row>
    <x:row r="291">
      <x:c r="A291" s="14" t="n">
        <x:v>290</x:v>
      </x:c>
      <x:c r="B291" s="18" t="str">
        <x:v>calculator instrument</x:v>
      </x:c>
      <x:c r="C291" s="18" t="str">
        <x:v>informational, transactional</x:v>
      </x:c>
      <x:c r="D291" s="26" t="n">
        <x:v>90</x:v>
      </x:c>
      <x:c r="E291" s="28" t="n">
        <x:v>0.12</x:v>
      </x:c>
      <x:c r="F291" s="14" t="n">
        <x:v>64</x:v>
      </x:c>
      <x:c r="G291" s="14" t="n">
        <x:v>46</x:v>
      </x:c>
      <x:c r="H291" s="14" t="str">
        <x:v>No</x:v>
      </x:c>
      <x:c r="I291" s="18" t="str">
        <x:v>App/product/brand/navigation/media intent rather than a calculation</x:v>
      </x:c>
      <x:c r="J291" s="18" t="str">
        <x:v>Excluded / Non-calculator</x:v>
      </x:c>
      <x:c r="K291" s="18" t="str"/>
      <x:c r="L291" s="18" t="n">
        <x:v>0</x:v>
      </x:c>
      <x:c r="M291" s="18" t="str"/>
      <x:c r="N291" s="18" t="str"/>
      <x:c r="O291" s="18" t="str"/>
      <x:c r="P291" s="30" t="n">
        <x:f>MAX(0,100-G291)</x:f>
        <x:v>54</x:v>
      </x:c>
      <x:c r="Q291" s="30" t="n">
        <x:f>MIN(100,ROUND(LOG10(D291+1)*18,0))</x:f>
        <x:v>35</x:v>
      </x:c>
      <x:c r="R291" s="30" t="n">
        <x:f>MIN(100,ROUND(E291*12,0))</x:f>
        <x:v>1</x:v>
      </x:c>
      <x:c r="S291" s="30" t="n">
        <x:f>IF(H291="No",0,ROUND(P291*0.45+Q291*0.30+R291*0.15+IF(M291="Easy",10,IF(M291="Medium",6,2))+IF(N291="High",5,IF(N291="Medium",3,0)),1))</x:f>
        <x:v>0</x:v>
      </x:c>
      <x:c r="T291" s="14" t="str">
        <x:f>IF(H291="No","Exclude",IF(S291&gt;=70,"Priority 1",IF(S291&gt;=55,"Priority 2",IF(S291&gt;=40,"Priority 3","Low priority"))))</x:f>
        <x:v>Exclude</x:v>
      </x:c>
    </x:row>
    <x:row r="292">
      <x:c r="A292" s="14" t="n">
        <x:v>291</x:v>
      </x:c>
      <x:c r="B292" s="18" t="str">
        <x:v>calculator ti 84</x:v>
      </x:c>
      <x:c r="C292" s="18" t="str">
        <x:v>transactional</x:v>
      </x:c>
      <x:c r="D292" s="26" t="n">
        <x:v>165000</x:v>
      </x:c>
      <x:c r="E292" s="28" t="n">
        <x:v>0.39</x:v>
      </x:c>
      <x:c r="F292" s="14" t="n">
        <x:v>32</x:v>
      </x:c>
      <x:c r="G292" s="14" t="n">
        <x:v>47</x:v>
      </x:c>
      <x:c r="H292" s="14" t="str">
        <x:v>No</x:v>
      </x:c>
      <x:c r="I292" s="18" t="str">
        <x:v>App/product/brand/navigation/media intent rather than a calculation</x:v>
      </x:c>
      <x:c r="J292" s="18" t="str">
        <x:v>Excluded / Non-calculator</x:v>
      </x:c>
      <x:c r="K292" s="18" t="str"/>
      <x:c r="L292" s="18" t="n">
        <x:v>0</x:v>
      </x:c>
      <x:c r="M292" s="18" t="str"/>
      <x:c r="N292" s="18" t="str"/>
      <x:c r="O292" s="18" t="str"/>
      <x:c r="P292" s="30" t="n">
        <x:f>MAX(0,100-G292)</x:f>
        <x:v>53</x:v>
      </x:c>
      <x:c r="Q292" s="30" t="n">
        <x:f>MIN(100,ROUND(LOG10(D292+1)*18,0))</x:f>
        <x:v>94</x:v>
      </x:c>
      <x:c r="R292" s="30" t="n">
        <x:f>MIN(100,ROUND(E292*12,0))</x:f>
        <x:v>5</x:v>
      </x:c>
      <x:c r="S292" s="30" t="n">
        <x:f>IF(H292="No",0,ROUND(P292*0.45+Q292*0.30+R292*0.15+IF(M292="Easy",10,IF(M292="Medium",6,2))+IF(N292="High",5,IF(N292="Medium",3,0)),1))</x:f>
        <x:v>0</x:v>
      </x:c>
      <x:c r="T292" s="14" t="str">
        <x:f>IF(H292="No","Exclude",IF(S292&gt;=70,"Priority 1",IF(S292&gt;=55,"Priority 2",IF(S292&gt;=40,"Priority 3","Low priority"))))</x:f>
        <x:v>Exclude</x:v>
      </x:c>
    </x:row>
    <x:row r="293">
      <x:c r="A293" s="14" t="n">
        <x:v>292</x:v>
      </x:c>
      <x:c r="B293" s="18" t="str">
        <x:v>calculator sleep</x:v>
      </x:c>
      <x:c r="C293" s="18" t="str">
        <x:v>null</x:v>
      </x:c>
      <x:c r="D293" s="26" t="n">
        <x:v>110000</x:v>
      </x:c>
      <x:c r="E293" s="28" t="n">
        <x:v>1.79</x:v>
      </x:c>
      <x:c r="F293" s="14" t="n">
        <x:v>1</x:v>
      </x:c>
      <x:c r="G293" s="14" t="n">
        <x:v>47</x:v>
      </x:c>
      <x:c r="H293" s="14" t="str">
        <x:v>Yes</x:v>
      </x:c>
      <x:c r="I293" s="18" t="str">
        <x:v>Clear calculation, conversion, estimation, or formula intent</x:v>
      </x:c>
      <x:c r="J293" s="18" t="str">
        <x:v>Health, Nutrition &amp; Fitness</x:v>
      </x:c>
      <x:c r="K293" s="18" t="str">
        <x:v>Sleep calculator</x:v>
      </x:c>
      <x:c r="L293" s="18" t="n">
        <x:v>1</x:v>
      </x:c>
      <x:c r="M293" s="18" t="str">
        <x:v>Medium</x:v>
      </x:c>
      <x:c r="N293" s="18" t="str">
        <x:v>Medium</x:v>
      </x:c>
      <x:c r="O293" s="18" t="str">
        <x:v>Ads / Affiliate</x:v>
      </x:c>
      <x:c r="P293" s="30" t="n">
        <x:f>MAX(0,100-G293)</x:f>
        <x:v>53</x:v>
      </x:c>
      <x:c r="Q293" s="30" t="n">
        <x:f>MIN(100,ROUND(LOG10(D293+1)*18,0))</x:f>
        <x:v>91</x:v>
      </x:c>
      <x:c r="R293" s="30" t="n">
        <x:f>MIN(100,ROUND(E293*12,0))</x:f>
        <x:v>21</x:v>
      </x:c>
      <x:c r="S293" s="30" t="n">
        <x:f>IF(H293="No",0,ROUND(P293*0.45+Q293*0.30+R293*0.15+IF(M293="Easy",10,IF(M293="Medium",6,2))+IF(N293="High",5,IF(N293="Medium",3,0)),1))</x:f>
        <x:v>63.3</x:v>
      </x:c>
      <x:c r="T293" s="14" t="str">
        <x:f>IF(H293="No","Exclude",IF(S293&gt;=70,"Priority 1",IF(S293&gt;=55,"Priority 2",IF(S293&gt;=40,"Priority 3","Low priority"))))</x:f>
        <x:v>Priority 2</x:v>
      </x:c>
    </x:row>
    <x:row r="294">
      <x:c r="A294" s="14" t="n">
        <x:v>293</x:v>
      </x:c>
      <x:c r="B294" s="18" t="str">
        <x:v>calculator drawing</x:v>
      </x:c>
      <x:c r="C294" s="18" t="str">
        <x:v>informational</x:v>
      </x:c>
      <x:c r="D294" s="26" t="n">
        <x:v>2900</x:v>
      </x:c>
      <x:c r="E294" s="28" t="n">
        <x:v>1.58</x:v>
      </x:c>
      <x:c r="F294" s="14" t="n">
        <x:v>1</x:v>
      </x:c>
      <x:c r="G294" s="14" t="n">
        <x:v>47</x:v>
      </x:c>
      <x:c r="H294" s="14" t="str">
        <x:v>No</x:v>
      </x:c>
      <x:c r="I294" s="18" t="str">
        <x:v>App/product/brand/navigation/media intent rather than a calculation</x:v>
      </x:c>
      <x:c r="J294" s="18" t="str">
        <x:v>Excluded / Non-calculator</x:v>
      </x:c>
      <x:c r="K294" s="18" t="str"/>
      <x:c r="L294" s="18" t="n">
        <x:v>0</x:v>
      </x:c>
      <x:c r="M294" s="18" t="str"/>
      <x:c r="N294" s="18" t="str"/>
      <x:c r="O294" s="18" t="str"/>
      <x:c r="P294" s="30" t="n">
        <x:f>MAX(0,100-G294)</x:f>
        <x:v>53</x:v>
      </x:c>
      <x:c r="Q294" s="30" t="n">
        <x:f>MIN(100,ROUND(LOG10(D294+1)*18,0))</x:f>
        <x:v>62</x:v>
      </x:c>
      <x:c r="R294" s="30" t="n">
        <x:f>MIN(100,ROUND(E294*12,0))</x:f>
        <x:v>19</x:v>
      </x:c>
      <x:c r="S294" s="30" t="n">
        <x:f>IF(H294="No",0,ROUND(P294*0.45+Q294*0.30+R294*0.15+IF(M294="Easy",10,IF(M294="Medium",6,2))+IF(N294="High",5,IF(N294="Medium",3,0)),1))</x:f>
        <x:v>0</x:v>
      </x:c>
      <x:c r="T294" s="14" t="str">
        <x:f>IF(H294="No","Exclude",IF(S294&gt;=70,"Priority 1",IF(S294&gt;=55,"Priority 2",IF(S294&gt;=40,"Priority 3","Low priority"))))</x:f>
        <x:v>Exclude</x:v>
      </x:c>
    </x:row>
    <x:row r="295">
      <x:c r="A295" s="14" t="n">
        <x:v>294</x:v>
      </x:c>
      <x:c r="B295" s="18" t="str">
        <x:v>calculator on my phone free</x:v>
      </x:c>
      <x:c r="C295" s="18" t="str">
        <x:v>informational</x:v>
      </x:c>
      <x:c r="D295" s="26" t="n">
        <x:v>110</x:v>
      </x:c>
      <x:c r="E295" s="28" t="n">
        <x:v>1.01</x:v>
      </x:c>
      <x:c r="F295" s="14" t="n">
        <x:v>33</x:v>
      </x:c>
      <x:c r="G295" s="14" t="n">
        <x:v>47</x:v>
      </x:c>
      <x:c r="H295" s="14" t="str">
        <x:v>No</x:v>
      </x:c>
      <x:c r="I295" s="18" t="str">
        <x:v>App/product/brand/navigation/media intent rather than a calculation</x:v>
      </x:c>
      <x:c r="J295" s="18" t="str">
        <x:v>Excluded / Non-calculator</x:v>
      </x:c>
      <x:c r="K295" s="18" t="str"/>
      <x:c r="L295" s="18" t="n">
        <x:v>0</x:v>
      </x:c>
      <x:c r="M295" s="18" t="str"/>
      <x:c r="N295" s="18" t="str"/>
      <x:c r="O295" s="18" t="str"/>
      <x:c r="P295" s="30" t="n">
        <x:f>MAX(0,100-G295)</x:f>
        <x:v>53</x:v>
      </x:c>
      <x:c r="Q295" s="30" t="n">
        <x:f>MIN(100,ROUND(LOG10(D295+1)*18,0))</x:f>
        <x:v>37</x:v>
      </x:c>
      <x:c r="R295" s="30" t="n">
        <x:f>MIN(100,ROUND(E295*12,0))</x:f>
        <x:v>12</x:v>
      </x:c>
      <x:c r="S295" s="30" t="n">
        <x:f>IF(H295="No",0,ROUND(P295*0.45+Q295*0.30+R295*0.15+IF(M295="Easy",10,IF(M295="Medium",6,2))+IF(N295="High",5,IF(N295="Medium",3,0)),1))</x:f>
        <x:v>0</x:v>
      </x:c>
      <x:c r="T295" s="14" t="str">
        <x:f>IF(H295="No","Exclude",IF(S295&gt;=70,"Priority 1",IF(S295&gt;=55,"Priority 2",IF(S295&gt;=40,"Priority 3","Low priority"))))</x:f>
        <x:v>Exclude</x:v>
      </x:c>
    </x:row>
    <x:row r="296">
      <x:c r="A296" s="14" t="n">
        <x:v>295</x:v>
      </x:c>
      <x:c r="B296" s="18" t="str">
        <x:v>calculator square feet</x:v>
      </x:c>
      <x:c r="C296" s="18" t="str">
        <x:v>informational</x:v>
      </x:c>
      <x:c r="D296" s="26" t="n">
        <x:v>246000</x:v>
      </x:c>
      <x:c r="E296" s="28" t="n">
        <x:v>2.9</x:v>
      </x:c>
      <x:c r="F296" s="14" t="n">
        <x:v>1</x:v>
      </x:c>
      <x:c r="G296" s="14" t="n">
        <x:v>48</x:v>
      </x:c>
      <x:c r="H296" s="14" t="str">
        <x:v>Yes</x:v>
      </x:c>
      <x:c r="I296" s="18" t="str">
        <x:v>Clear calculation, conversion, estimation, or formula intent</x:v>
      </x:c>
      <x:c r="J296" s="18" t="str">
        <x:v>Construction &amp; Home Improvement</x:v>
      </x:c>
      <x:c r="K296" s="18" t="str">
        <x:v>Square Feet calculator</x:v>
      </x:c>
      <x:c r="L296" s="18" t="n">
        <x:v>1</x:v>
      </x:c>
      <x:c r="M296" s="18" t="str">
        <x:v>Easy</x:v>
      </x:c>
      <x:c r="N296" s="18" t="str">
        <x:v>Medium</x:v>
      </x:c>
      <x:c r="O296" s="18" t="str">
        <x:v>Ads / Local leads / Affiliate</x:v>
      </x:c>
      <x:c r="P296" s="30" t="n">
        <x:f>MAX(0,100-G296)</x:f>
        <x:v>52</x:v>
      </x:c>
      <x:c r="Q296" s="30" t="n">
        <x:f>MIN(100,ROUND(LOG10(D296+1)*18,0))</x:f>
        <x:v>97</x:v>
      </x:c>
      <x:c r="R296" s="30" t="n">
        <x:f>MIN(100,ROUND(E296*12,0))</x:f>
        <x:v>35</x:v>
      </x:c>
      <x:c r="S296" s="30" t="n">
        <x:f>IF(H296="No",0,ROUND(P296*0.45+Q296*0.30+R296*0.15+IF(M296="Easy",10,IF(M296="Medium",6,2))+IF(N296="High",5,IF(N296="Medium",3,0)),1))</x:f>
        <x:v>70.8</x:v>
      </x:c>
      <x:c r="T296" s="14" t="str">
        <x:f>IF(H296="No","Exclude",IF(S296&gt;=70,"Priority 1",IF(S296&gt;=55,"Priority 2",IF(S296&gt;=40,"Priority 3","Low priority"))))</x:f>
        <x:v>Priority 1</x:v>
      </x:c>
    </x:row>
    <x:row r="297">
      <x:c r="A297" s="14" t="n">
        <x:v>296</x:v>
      </x:c>
      <x:c r="B297" s="18" t="str">
        <x:v>calculator unemployment benefits</x:v>
      </x:c>
      <x:c r="C297" s="18" t="str">
        <x:v>informational</x:v>
      </x:c>
      <x:c r="D297" s="26" t="n">
        <x:v>1900</x:v>
      </x:c>
      <x:c r="E297" s="28" t="n">
        <x:v>2.94</x:v>
      </x:c>
      <x:c r="F297" s="14" t="n">
        <x:v>1</x:v>
      </x:c>
      <x:c r="G297" s="14" t="n">
        <x:v>48</x:v>
      </x:c>
      <x:c r="H297" s="14" t="str">
        <x:v>Yes</x:v>
      </x:c>
      <x:c r="I297" s="18" t="str">
        <x:v>Clear calculation, conversion, estimation, or formula intent</x:v>
      </x:c>
      <x:c r="J297" s="18" t="str">
        <x:v>Salary, Payroll &amp; Tax</x:v>
      </x:c>
      <x:c r="K297" s="18" t="str">
        <x:v>Unemployment Benefits calculator</x:v>
      </x:c>
      <x:c r="L297" s="18" t="n">
        <x:v>1</x:v>
      </x:c>
      <x:c r="M297" s="18" t="str">
        <x:v>Complex</x:v>
      </x:c>
      <x:c r="N297" s="18" t="str">
        <x:v>High</x:v>
      </x:c>
      <x:c r="O297" s="18" t="str">
        <x:v>Ads / SaaS leads</x:v>
      </x:c>
      <x:c r="P297" s="30" t="n">
        <x:f>MAX(0,100-G297)</x:f>
        <x:v>52</x:v>
      </x:c>
      <x:c r="Q297" s="30" t="n">
        <x:f>MIN(100,ROUND(LOG10(D297+1)*18,0))</x:f>
        <x:v>59</x:v>
      </x:c>
      <x:c r="R297" s="30" t="n">
        <x:f>MIN(100,ROUND(E297*12,0))</x:f>
        <x:v>35</x:v>
      </x:c>
      <x:c r="S297" s="30" t="n">
        <x:f>IF(H297="No",0,ROUND(P297*0.45+Q297*0.30+R297*0.15+IF(M297="Easy",10,IF(M297="Medium",6,2))+IF(N297="High",5,IF(N297="Medium",3,0)),1))</x:f>
        <x:v>53.4</x:v>
      </x:c>
      <x:c r="T297" s="14" t="str">
        <x:f>IF(H297="No","Exclude",IF(S297&gt;=70,"Priority 1",IF(S297&gt;=55,"Priority 2",IF(S297&gt;=40,"Priority 3","Low priority"))))</x:f>
        <x:v>Priority 3</x:v>
      </x:c>
    </x:row>
    <x:row r="298">
      <x:c r="A298" s="14" t="n">
        <x:v>297</x:v>
      </x:c>
      <x:c r="B298" s="18" t="str">
        <x:v>calculator interest</x:v>
      </x:c>
      <x:c r="C298" s="18" t="str">
        <x:v>informational</x:v>
      </x:c>
      <x:c r="D298" s="26" t="n">
        <x:v>480</x:v>
      </x:c>
      <x:c r="E298" s="28" t="n">
        <x:v>5.2</x:v>
      </x:c>
      <x:c r="F298" s="14" t="n">
        <x:v>9</x:v>
      </x:c>
      <x:c r="G298" s="14" t="n">
        <x:v>48</x:v>
      </x:c>
      <x:c r="H298" s="14" t="str">
        <x:v>Yes</x:v>
      </x:c>
      <x:c r="I298" s="18" t="str">
        <x:v>Clear calculation, conversion, estimation, or formula intent</x:v>
      </x:c>
      <x:c r="J298" s="18" t="str">
        <x:v>General / Other</x:v>
      </x:c>
      <x:c r="K298" s="18" t="str">
        <x:v>Interest calculator</x:v>
      </x:c>
      <x:c r="L298" s="18" t="n">
        <x:v>1</x:v>
      </x:c>
      <x:c r="M298" s="18" t="str">
        <x:v>Easy</x:v>
      </x:c>
      <x:c r="N298" s="18" t="str">
        <x:v>Medium</x:v>
      </x:c>
      <x:c r="O298" s="18" t="str">
        <x:v>Ads</x:v>
      </x:c>
      <x:c r="P298" s="30" t="n">
        <x:f>MAX(0,100-G298)</x:f>
        <x:v>52</x:v>
      </x:c>
      <x:c r="Q298" s="30" t="n">
        <x:f>MIN(100,ROUND(LOG10(D298+1)*18,0))</x:f>
        <x:v>48</x:v>
      </x:c>
      <x:c r="R298" s="30" t="n">
        <x:f>MIN(100,ROUND(E298*12,0))</x:f>
        <x:v>62</x:v>
      </x:c>
      <x:c r="S298" s="30" t="n">
        <x:f>IF(H298="No",0,ROUND(P298*0.45+Q298*0.30+R298*0.15+IF(M298="Easy",10,IF(M298="Medium",6,2))+IF(N298="High",5,IF(N298="Medium",3,0)),1))</x:f>
        <x:v>60.1</x:v>
      </x:c>
      <x:c r="T298" s="14" t="str">
        <x:f>IF(H298="No","Exclude",IF(S298&gt;=70,"Priority 1",IF(S298&gt;=55,"Priority 2",IF(S298&gt;=40,"Priority 3","Low priority"))))</x:f>
        <x:v>Priority 2</x:v>
      </x:c>
    </x:row>
    <x:row r="299">
      <x:c r="A299" s="14" t="n">
        <x:v>298</x:v>
      </x:c>
      <x:c r="B299" s="18" t="str">
        <x:v>calculator 10</x:v>
      </x:c>
      <x:c r="C299" s="18" t="str">
        <x:v>informational, transactional</x:v>
      </x:c>
      <x:c r="D299" s="26" t="n">
        <x:v>90</x:v>
      </x:c>
      <x:c r="E299" s="28" t="n">
        <x:v>0</x:v>
      </x:c>
      <x:c r="F299" s="14" t="n">
        <x:v>1</x:v>
      </x:c>
      <x:c r="G299" s="14" t="n">
        <x:v>48</x:v>
      </x:c>
      <x:c r="H299" s="14" t="str">
        <x:v>No</x:v>
      </x:c>
      <x:c r="I299" s="18" t="str">
        <x:v>Model/number query, not a distinct web calculator</x:v>
      </x:c>
      <x:c r="J299" s="18" t="str">
        <x:v>Excluded / Non-calculator</x:v>
      </x:c>
      <x:c r="K299" s="18" t="str"/>
      <x:c r="L299" s="18" t="n">
        <x:v>0</x:v>
      </x:c>
      <x:c r="M299" s="18" t="str"/>
      <x:c r="N299" s="18" t="str"/>
      <x:c r="O299" s="18" t="str"/>
      <x:c r="P299" s="30" t="n">
        <x:f>MAX(0,100-G299)</x:f>
        <x:v>52</x:v>
      </x:c>
      <x:c r="Q299" s="30" t="n">
        <x:f>MIN(100,ROUND(LOG10(D299+1)*18,0))</x:f>
        <x:v>35</x:v>
      </x:c>
      <x:c r="R299" s="30" t="n">
        <x:f>MIN(100,ROUND(E299*12,0))</x:f>
        <x:v>0</x:v>
      </x:c>
      <x:c r="S299" s="30" t="n">
        <x:f>IF(H299="No",0,ROUND(P299*0.45+Q299*0.30+R299*0.15+IF(M299="Easy",10,IF(M299="Medium",6,2))+IF(N299="High",5,IF(N299="Medium",3,0)),1))</x:f>
        <x:v>0</x:v>
      </x:c>
      <x:c r="T299" s="14" t="str">
        <x:f>IF(H299="No","Exclude",IF(S299&gt;=70,"Priority 1",IF(S299&gt;=55,"Priority 2",IF(S299&gt;=40,"Priority 3","Low priority"))))</x:f>
        <x:v>Exclude</x:v>
      </x:c>
    </x:row>
    <x:row r="300">
      <x:c r="A300" s="14" t="n">
        <x:v>299</x:v>
      </x:c>
      <x:c r="B300" s="18" t="str">
        <x:v>calculator net height</x:v>
      </x:c>
      <x:c r="C300" s="18" t="str">
        <x:v>informational</x:v>
      </x:c>
      <x:c r="D300" s="26" t="n">
        <x:v>50</x:v>
      </x:c>
      <x:c r="E300" s="28" t="n">
        <x:v>0</x:v>
      </x:c>
      <x:c r="F300" s="14" t="n">
        <x:v>2</x:v>
      </x:c>
      <x:c r="G300" s="14" t="n">
        <x:v>48</x:v>
      </x:c>
      <x:c r="H300" s="14" t="str">
        <x:v>Yes</x:v>
      </x:c>
      <x:c r="I300" s="18" t="str">
        <x:v>Clear calculation, conversion, estimation, or formula intent</x:v>
      </x:c>
      <x:c r="J300" s="18" t="str">
        <x:v>General / Other</x:v>
      </x:c>
      <x:c r="K300" s="18" t="str">
        <x:v>Net Height calculator</x:v>
      </x:c>
      <x:c r="L300" s="18" t="n">
        <x:v>1</x:v>
      </x:c>
      <x:c r="M300" s="18" t="str">
        <x:v>Easy</x:v>
      </x:c>
      <x:c r="N300" s="18" t="str">
        <x:v>Medium</x:v>
      </x:c>
      <x:c r="O300" s="18" t="str">
        <x:v>Ads</x:v>
      </x:c>
      <x:c r="P300" s="30" t="n">
        <x:f>MAX(0,100-G300)</x:f>
        <x:v>52</x:v>
      </x:c>
      <x:c r="Q300" s="30" t="n">
        <x:f>MIN(100,ROUND(LOG10(D300+1)*18,0))</x:f>
        <x:v>31</x:v>
      </x:c>
      <x:c r="R300" s="30" t="n">
        <x:f>MIN(100,ROUND(E300*12,0))</x:f>
        <x:v>0</x:v>
      </x:c>
      <x:c r="S300" s="30" t="n">
        <x:f>IF(H300="No",0,ROUND(P300*0.45+Q300*0.30+R300*0.15+IF(M300="Easy",10,IF(M300="Medium",6,2))+IF(N300="High",5,IF(N300="Medium",3,0)),1))</x:f>
        <x:v>45.7</x:v>
      </x:c>
      <x:c r="T300" s="14" t="str">
        <x:f>IF(H300="No","Exclude",IF(S300&gt;=70,"Priority 1",IF(S300&gt;=55,"Priority 2",IF(S300&gt;=40,"Priority 3","Low priority"))))</x:f>
        <x:v>Priority 3</x:v>
      </x:c>
    </x:row>
    <x:row r="301">
      <x:c r="A301" s="14" t="n">
        <x:v>300</x:v>
      </x:c>
      <x:c r="B301" s="18" t="str">
        <x:v>calculator 6 months from today</x:v>
      </x:c>
      <x:c r="C301" s="18" t="str">
        <x:v>null</x:v>
      </x:c>
      <x:c r="D301" s="26" t="n">
        <x:v>0</x:v>
      </x:c>
      <x:c r="E301" s="28" t="n">
        <x:v>0</x:v>
      </x:c>
      <x:c r="F301" s="14" t="n">
        <x:v>1</x:v>
      </x:c>
      <x:c r="G301" s="14" t="n">
        <x:v>48</x:v>
      </x:c>
      <x:c r="H301" s="14" t="str">
        <x:v>No</x:v>
      </x:c>
      <x:c r="I301" s="18" t="str">
        <x:v>No measurable volume and no clear calculator-specific intent</x:v>
      </x:c>
      <x:c r="J301" s="18" t="str">
        <x:v>Excluded / Non-calculator</x:v>
      </x:c>
      <x:c r="K301" s="18" t="str"/>
      <x:c r="L301" s="18" t="n">
        <x:v>0</x:v>
      </x:c>
      <x:c r="M301" s="18" t="str"/>
      <x:c r="N301" s="18" t="str"/>
      <x:c r="O301" s="18" t="str"/>
      <x:c r="P301" s="30" t="n">
        <x:f>MAX(0,100-G301)</x:f>
        <x:v>52</x:v>
      </x:c>
      <x:c r="Q301" s="30" t="n">
        <x:f>MIN(100,ROUND(LOG10(D301+1)*18,0))</x:f>
        <x:v>0</x:v>
      </x:c>
      <x:c r="R301" s="30" t="n">
        <x:f>MIN(100,ROUND(E301*12,0))</x:f>
        <x:v>0</x:v>
      </x:c>
      <x:c r="S301" s="30" t="n">
        <x:f>IF(H301="No",0,ROUND(P301*0.45+Q301*0.30+R301*0.15+IF(M301="Easy",10,IF(M301="Medium",6,2))+IF(N301="High",5,IF(N301="Medium",3,0)),1))</x:f>
        <x:v>0</x:v>
      </x:c>
      <x:c r="T301" s="14" t="str">
        <x:f>IF(H301="No","Exclude",IF(S301&gt;=70,"Priority 1",IF(S301&gt;=55,"Priority 2",IF(S301&gt;=40,"Priority 3","Low priority"))))</x:f>
        <x:v>Exclude</x:v>
      </x:c>
    </x:row>
    <x:row r="302">
      <x:c r="A302" s="14" t="n">
        <x:v>301</x:v>
      </x:c>
      <x:c r="B302" s="18" t="str">
        <x:v>calculator car loan payment</x:v>
      </x:c>
      <x:c r="C302" s="18" t="str">
        <x:v>null</x:v>
      </x:c>
      <x:c r="D302" s="26" t="n">
        <x:v>135000</x:v>
      </x:c>
      <x:c r="E302" s="28" t="n">
        <x:v>0.62</x:v>
      </x:c>
      <x:c r="F302" s="14" t="n">
        <x:v>48</x:v>
      </x:c>
      <x:c r="G302" s="14" t="n">
        <x:v>49</x:v>
      </x:c>
      <x:c r="H302" s="14" t="str">
        <x:v>Yes</x:v>
      </x:c>
      <x:c r="I302" s="18" t="str">
        <x:v>Clear calculation, conversion, estimation, or formula intent</x:v>
      </x:c>
      <x:c r="J302" s="18" t="str">
        <x:v>Loans &amp; Auto Finance</x:v>
      </x:c>
      <x:c r="K302" s="18" t="str">
        <x:v>Car loan/payment calculator</x:v>
      </x:c>
      <x:c r="L302" s="18" t="n">
        <x:v>6</x:v>
      </x:c>
      <x:c r="M302" s="18" t="str">
        <x:v>Medium</x:v>
      </x:c>
      <x:c r="N302" s="18" t="str">
        <x:v>High</x:v>
      </x:c>
      <x:c r="O302" s="18" t="str">
        <x:v>Leads / Ads / Affiliate</x:v>
      </x:c>
      <x:c r="P302" s="30" t="n">
        <x:f>MAX(0,100-G302)</x:f>
        <x:v>51</x:v>
      </x:c>
      <x:c r="Q302" s="30" t="n">
        <x:f>MIN(100,ROUND(LOG10(D302+1)*18,0))</x:f>
        <x:v>92</x:v>
      </x:c>
      <x:c r="R302" s="30" t="n">
        <x:f>MIN(100,ROUND(E302*12,0))</x:f>
        <x:v>7</x:v>
      </x:c>
      <x:c r="S302" s="30" t="n">
        <x:f>IF(H302="No",0,ROUND(P302*0.45+Q302*0.30+R302*0.15+IF(M302="Easy",10,IF(M302="Medium",6,2))+IF(N302="High",5,IF(N302="Medium",3,0)),1))</x:f>
        <x:v>62.6</x:v>
      </x:c>
      <x:c r="T302" s="14" t="str">
        <x:f>IF(H302="No","Exclude",IF(S302&gt;=70,"Priority 1",IF(S302&gt;=55,"Priority 2",IF(S302&gt;=40,"Priority 3","Low priority"))))</x:f>
        <x:v>Priority 2</x:v>
      </x:c>
    </x:row>
    <x:row r="303">
      <x:c r="A303" s="14" t="n">
        <x:v>302</x:v>
      </x:c>
      <x:c r="B303" s="18" t="str">
        <x:v>calculator exponents</x:v>
      </x:c>
      <x:c r="C303" s="18" t="str">
        <x:v>informational, navigational</x:v>
      </x:c>
      <x:c r="D303" s="26" t="n">
        <x:v>22200</x:v>
      </x:c>
      <x:c r="E303" s="28" t="n">
        <x:v>1.53</x:v>
      </x:c>
      <x:c r="F303" s="14" t="n">
        <x:v>2</x:v>
      </x:c>
      <x:c r="G303" s="14" t="n">
        <x:v>49</x:v>
      </x:c>
      <x:c r="H303" s="14" t="str">
        <x:v>Yes</x:v>
      </x:c>
      <x:c r="I303" s="18" t="str">
        <x:v>Clear calculation, conversion, estimation, or formula intent</x:v>
      </x:c>
      <x:c r="J303" s="18" t="str">
        <x:v>Math &amp; Education</x:v>
      </x:c>
      <x:c r="K303" s="18" t="str">
        <x:v>Exponents calculator</x:v>
      </x:c>
      <x:c r="L303" s="18" t="n">
        <x:v>1</x:v>
      </x:c>
      <x:c r="M303" s="18" t="str">
        <x:v>Easy</x:v>
      </x:c>
      <x:c r="N303" s="18" t="str">
        <x:v>Medium</x:v>
      </x:c>
      <x:c r="O303" s="18" t="str">
        <x:v>Ads / EdTech</x:v>
      </x:c>
      <x:c r="P303" s="30" t="n">
        <x:f>MAX(0,100-G303)</x:f>
        <x:v>51</x:v>
      </x:c>
      <x:c r="Q303" s="30" t="n">
        <x:f>MIN(100,ROUND(LOG10(D303+1)*18,0))</x:f>
        <x:v>78</x:v>
      </x:c>
      <x:c r="R303" s="30" t="n">
        <x:f>MIN(100,ROUND(E303*12,0))</x:f>
        <x:v>18</x:v>
      </x:c>
      <x:c r="S303" s="30" t="n">
        <x:f>IF(H303="No",0,ROUND(P303*0.45+Q303*0.30+R303*0.15+IF(M303="Easy",10,IF(M303="Medium",6,2))+IF(N303="High",5,IF(N303="Medium",3,0)),1))</x:f>
        <x:v>62.1</x:v>
      </x:c>
      <x:c r="T303" s="14" t="str">
        <x:f>IF(H303="No","Exclude",IF(S303&gt;=70,"Priority 1",IF(S303&gt;=55,"Priority 2",IF(S303&gt;=40,"Priority 3","Low priority"))))</x:f>
        <x:v>Priority 2</x:v>
      </x:c>
    </x:row>
    <x:row r="304">
      <x:c r="A304" s="14" t="n">
        <x:v>303</x:v>
      </x:c>
      <x:c r="B304" s="18" t="str">
        <x:v>calculator 3d</x:v>
      </x:c>
      <x:c r="C304" s="18" t="str">
        <x:v>transactional</x:v>
      </x:c>
      <x:c r="D304" s="26" t="n">
        <x:v>880</x:v>
      </x:c>
      <x:c r="E304" s="28" t="n">
        <x:v>0</x:v>
      </x:c>
      <x:c r="F304" s="14" t="n">
        <x:v>1</x:v>
      </x:c>
      <x:c r="G304" s="14" t="n">
        <x:v>49</x:v>
      </x:c>
      <x:c r="H304" s="14" t="str">
        <x:v>Maybe</x:v>
      </x:c>
      <x:c r="I304" s="18" t="str">
        <x:v>Insufficiently specific; requires SERP validation before development</x:v>
      </x:c>
      <x:c r="J304" s="18" t="str">
        <x:v>General / Other</x:v>
      </x:c>
      <x:c r="K304" s="18" t="str">
        <x:v>3D calculator</x:v>
      </x:c>
      <x:c r="L304" s="18" t="n">
        <x:v>1</x:v>
      </x:c>
      <x:c r="M304" s="18" t="str">
        <x:v>Easy</x:v>
      </x:c>
      <x:c r="N304" s="18" t="str">
        <x:v>Medium</x:v>
      </x:c>
      <x:c r="O304" s="18" t="str">
        <x:v>Ads</x:v>
      </x:c>
      <x:c r="P304" s="30" t="n">
        <x:f>MAX(0,100-G304)</x:f>
        <x:v>51</x:v>
      </x:c>
      <x:c r="Q304" s="30" t="n">
        <x:f>MIN(100,ROUND(LOG10(D304+1)*18,0))</x:f>
        <x:v>53</x:v>
      </x:c>
      <x:c r="R304" s="30" t="n">
        <x:f>MIN(100,ROUND(E304*12,0))</x:f>
        <x:v>0</x:v>
      </x:c>
      <x:c r="S304" s="30" t="n">
        <x:f>IF(H304="No",0,ROUND(P304*0.45+Q304*0.30+R304*0.15+IF(M304="Easy",10,IF(M304="Medium",6,2))+IF(N304="High",5,IF(N304="Medium",3,0)),1))</x:f>
        <x:v>51.9</x:v>
      </x:c>
      <x:c r="T304" s="14" t="str">
        <x:f>IF(H304="No","Exclude",IF(S304&gt;=70,"Priority 1",IF(S304&gt;=55,"Priority 2",IF(S304&gt;=40,"Priority 3","Low priority"))))</x:f>
        <x:v>Priority 3</x:v>
      </x:c>
    </x:row>
    <x:row r="305">
      <x:c r="A305" s="14" t="n">
        <x:v>304</x:v>
      </x:c>
      <x:c r="B305" s="18" t="str">
        <x:v>calculator app free download</x:v>
      </x:c>
      <x:c r="C305" s="18" t="str">
        <x:v>navigational, transactional</x:v>
      </x:c>
      <x:c r="D305" s="26" t="n">
        <x:v>590</x:v>
      </x:c>
      <x:c r="E305" s="28" t="n">
        <x:v>1.4</x:v>
      </x:c>
      <x:c r="F305" s="14" t="n">
        <x:v>35</x:v>
      </x:c>
      <x:c r="G305" s="14" t="n">
        <x:v>49</x:v>
      </x:c>
      <x:c r="H305" s="14" t="str">
        <x:v>No</x:v>
      </x:c>
      <x:c r="I305" s="18" t="str">
        <x:v>App/product/brand/navigation/media intent rather than a calculation</x:v>
      </x:c>
      <x:c r="J305" s="18" t="str">
        <x:v>Excluded / Non-calculator</x:v>
      </x:c>
      <x:c r="K305" s="18" t="str"/>
      <x:c r="L305" s="18" t="n">
        <x:v>0</x:v>
      </x:c>
      <x:c r="M305" s="18" t="str"/>
      <x:c r="N305" s="18" t="str"/>
      <x:c r="O305" s="18" t="str"/>
      <x:c r="P305" s="30" t="n">
        <x:f>MAX(0,100-G305)</x:f>
        <x:v>51</x:v>
      </x:c>
      <x:c r="Q305" s="30" t="n">
        <x:f>MIN(100,ROUND(LOG10(D305+1)*18,0))</x:f>
        <x:v>50</x:v>
      </x:c>
      <x:c r="R305" s="30" t="n">
        <x:f>MIN(100,ROUND(E305*12,0))</x:f>
        <x:v>17</x:v>
      </x:c>
      <x:c r="S305" s="30" t="n">
        <x:f>IF(H305="No",0,ROUND(P305*0.45+Q305*0.30+R305*0.15+IF(M305="Easy",10,IF(M305="Medium",6,2))+IF(N305="High",5,IF(N305="Medium",3,0)),1))</x:f>
        <x:v>0</x:v>
      </x:c>
      <x:c r="T305" s="14" t="str">
        <x:f>IF(H305="No","Exclude",IF(S305&gt;=70,"Priority 1",IF(S305&gt;=55,"Priority 2",IF(S305&gt;=40,"Priority 3","Low priority"))))</x:f>
        <x:v>Exclude</x:v>
      </x:c>
    </x:row>
    <x:row r="306">
      <x:c r="A306" s="14" t="n">
        <x:v>305</x:v>
      </x:c>
      <x:c r="B306" s="18" t="str">
        <x:v>calculator car payment</x:v>
      </x:c>
      <x:c r="C306" s="18" t="str">
        <x:v>null</x:v>
      </x:c>
      <x:c r="D306" s="26" t="n">
        <x:v>550000</x:v>
      </x:c>
      <x:c r="E306" s="28" t="n">
        <x:v>0.64</x:v>
      </x:c>
      <x:c r="F306" s="14" t="n">
        <x:v>25</x:v>
      </x:c>
      <x:c r="G306" s="14" t="n">
        <x:v>50</x:v>
      </x:c>
      <x:c r="H306" s="14" t="str">
        <x:v>Yes</x:v>
      </x:c>
      <x:c r="I306" s="18" t="str">
        <x:v>Clear calculation, conversion, estimation, or formula intent</x:v>
      </x:c>
      <x:c r="J306" s="18" t="str">
        <x:v>Loans &amp; Auto Finance</x:v>
      </x:c>
      <x:c r="K306" s="18" t="str">
        <x:v>Car loan/payment calculator</x:v>
      </x:c>
      <x:c r="L306" s="18" t="n">
        <x:v>6</x:v>
      </x:c>
      <x:c r="M306" s="18" t="str">
        <x:v>Medium</x:v>
      </x:c>
      <x:c r="N306" s="18" t="str">
        <x:v>High</x:v>
      </x:c>
      <x:c r="O306" s="18" t="str">
        <x:v>Leads / Ads / Affiliate</x:v>
      </x:c>
      <x:c r="P306" s="30" t="n">
        <x:f>MAX(0,100-G306)</x:f>
        <x:v>50</x:v>
      </x:c>
      <x:c r="Q306" s="30" t="n">
        <x:f>MIN(100,ROUND(LOG10(D306+1)*18,0))</x:f>
        <x:v>100</x:v>
      </x:c>
      <x:c r="R306" s="30" t="n">
        <x:f>MIN(100,ROUND(E306*12,0))</x:f>
        <x:v>8</x:v>
      </x:c>
      <x:c r="S306" s="30" t="n">
        <x:f>IF(H306="No",0,ROUND(P306*0.45+Q306*0.30+R306*0.15+IF(M306="Easy",10,IF(M306="Medium",6,2))+IF(N306="High",5,IF(N306="Medium",3,0)),1))</x:f>
        <x:v>64.7</x:v>
      </x:c>
      <x:c r="T306" s="14" t="str">
        <x:f>IF(H306="No","Exclude",IF(S306&gt;=70,"Priority 1",IF(S306&gt;=55,"Priority 2",IF(S306&gt;=40,"Priority 3","Low priority"))))</x:f>
        <x:v>Priority 2</x:v>
      </x:c>
    </x:row>
    <x:row r="307">
      <x:c r="A307" s="14" t="n">
        <x:v>306</x:v>
      </x:c>
      <x:c r="B307" s="18" t="str">
        <x:v>calculator graphing</x:v>
      </x:c>
      <x:c r="C307" s="18" t="str">
        <x:v>null</x:v>
      </x:c>
      <x:c r="D307" s="26" t="n">
        <x:v>368000</x:v>
      </x:c>
      <x:c r="E307" s="28" t="n">
        <x:v>0.94</x:v>
      </x:c>
      <x:c r="F307" s="14" t="n">
        <x:v>7</x:v>
      </x:c>
      <x:c r="G307" s="14" t="n">
        <x:v>50</x:v>
      </x:c>
      <x:c r="H307" s="14" t="str">
        <x:v>Maybe</x:v>
      </x:c>
      <x:c r="I307" s="18" t="str">
        <x:v>Insufficiently specific; requires SERP validation before development</x:v>
      </x:c>
      <x:c r="J307" s="18" t="str">
        <x:v>General / Other</x:v>
      </x:c>
      <x:c r="K307" s="18" t="str">
        <x:v>Graphing calculator</x:v>
      </x:c>
      <x:c r="L307" s="18" t="n">
        <x:v>1</x:v>
      </x:c>
      <x:c r="M307" s="18" t="str">
        <x:v>Easy</x:v>
      </x:c>
      <x:c r="N307" s="18" t="str">
        <x:v>Medium</x:v>
      </x:c>
      <x:c r="O307" s="18" t="str">
        <x:v>Ads</x:v>
      </x:c>
      <x:c r="P307" s="30" t="n">
        <x:f>MAX(0,100-G307)</x:f>
        <x:v>50</x:v>
      </x:c>
      <x:c r="Q307" s="30" t="n">
        <x:f>MIN(100,ROUND(LOG10(D307+1)*18,0))</x:f>
        <x:v>100</x:v>
      </x:c>
      <x:c r="R307" s="30" t="n">
        <x:f>MIN(100,ROUND(E307*12,0))</x:f>
        <x:v>11</x:v>
      </x:c>
      <x:c r="S307" s="30" t="n">
        <x:f>IF(H307="No",0,ROUND(P307*0.45+Q307*0.30+R307*0.15+IF(M307="Easy",10,IF(M307="Medium",6,2))+IF(N307="High",5,IF(N307="Medium",3,0)),1))</x:f>
        <x:v>67.2</x:v>
      </x:c>
      <x:c r="T307" s="14" t="str">
        <x:f>IF(H307="No","Exclude",IF(S307&gt;=70,"Priority 1",IF(S307&gt;=55,"Priority 2",IF(S307&gt;=40,"Priority 3","Low priority"))))</x:f>
        <x:v>Priority 2</x:v>
      </x:c>
    </x:row>
    <x:row r="308">
      <x:c r="A308" s="14" t="n">
        <x:v>307</x:v>
      </x:c>
      <x:c r="B308" s="18" t="str">
        <x:v>calculator gas trip</x:v>
      </x:c>
      <x:c r="C308" s="18" t="str">
        <x:v>null</x:v>
      </x:c>
      <x:c r="D308" s="26" t="n">
        <x:v>18100</x:v>
      </x:c>
      <x:c r="E308" s="28" t="n">
        <x:v>3.59</x:v>
      </x:c>
      <x:c r="F308" s="14" t="n">
        <x:v>1</x:v>
      </x:c>
      <x:c r="G308" s="14" t="n">
        <x:v>50</x:v>
      </x:c>
      <x:c r="H308" s="14" t="str">
        <x:v>Yes</x:v>
      </x:c>
      <x:c r="I308" s="18" t="str">
        <x:v>Clear calculation, conversion, estimation, or formula intent</x:v>
      </x:c>
      <x:c r="J308" s="18" t="str">
        <x:v>Travel &amp; Automotive</x:v>
      </x:c>
      <x:c r="K308" s="18" t="str">
        <x:v>Gas Trip calculator</x:v>
      </x:c>
      <x:c r="L308" s="18" t="n">
        <x:v>1</x:v>
      </x:c>
      <x:c r="M308" s="18" t="str">
        <x:v>Medium</x:v>
      </x:c>
      <x:c r="N308" s="18" t="str">
        <x:v>Medium</x:v>
      </x:c>
      <x:c r="O308" s="18" t="str">
        <x:v>Ads / Affiliate</x:v>
      </x:c>
      <x:c r="P308" s="30" t="n">
        <x:f>MAX(0,100-G308)</x:f>
        <x:v>50</x:v>
      </x:c>
      <x:c r="Q308" s="30" t="n">
        <x:f>MIN(100,ROUND(LOG10(D308+1)*18,0))</x:f>
        <x:v>77</x:v>
      </x:c>
      <x:c r="R308" s="30" t="n">
        <x:f>MIN(100,ROUND(E308*12,0))</x:f>
        <x:v>43</x:v>
      </x:c>
      <x:c r="S308" s="30" t="n">
        <x:f>IF(H308="No",0,ROUND(P308*0.45+Q308*0.30+R308*0.15+IF(M308="Easy",10,IF(M308="Medium",6,2))+IF(N308="High",5,IF(N308="Medium",3,0)),1))</x:f>
        <x:v>61.1</x:v>
      </x:c>
      <x:c r="T308" s="14" t="str">
        <x:f>IF(H308="No","Exclude",IF(S308&gt;=70,"Priority 1",IF(S308&gt;=55,"Priority 2",IF(S308&gt;=40,"Priority 3","Low priority"))))</x:f>
        <x:v>Priority 2</x:v>
      </x:c>
    </x:row>
    <x:row r="309">
      <x:c r="A309" s="14" t="n">
        <x:v>308</x:v>
      </x:c>
      <x:c r="B309" s="18" t="str">
        <x:v>calculator walmart</x:v>
      </x:c>
      <x:c r="C309" s="18" t="str">
        <x:v>null</x:v>
      </x:c>
      <x:c r="D309" s="26" t="n">
        <x:v>3600</x:v>
      </x:c>
      <x:c r="E309" s="28" t="n">
        <x:v>0.04</x:v>
      </x:c>
      <x:c r="F309" s="14" t="n">
        <x:v>100</x:v>
      </x:c>
      <x:c r="G309" s="14" t="n">
        <x:v>50</x:v>
      </x:c>
      <x:c r="H309" s="14" t="str">
        <x:v>No</x:v>
      </x:c>
      <x:c r="I309" s="18" t="str">
        <x:v>App/product/brand/navigation/media intent rather than a calculation</x:v>
      </x:c>
      <x:c r="J309" s="18" t="str">
        <x:v>Excluded / Non-calculator</x:v>
      </x:c>
      <x:c r="K309" s="18" t="str"/>
      <x:c r="L309" s="18" t="n">
        <x:v>0</x:v>
      </x:c>
      <x:c r="M309" s="18" t="str"/>
      <x:c r="N309" s="18" t="str"/>
      <x:c r="O309" s="18" t="str"/>
      <x:c r="P309" s="30" t="n">
        <x:f>MAX(0,100-G309)</x:f>
        <x:v>50</x:v>
      </x:c>
      <x:c r="Q309" s="30" t="n">
        <x:f>MIN(100,ROUND(LOG10(D309+1)*18,0))</x:f>
        <x:v>64</x:v>
      </x:c>
      <x:c r="R309" s="30" t="n">
        <x:f>MIN(100,ROUND(E309*12,0))</x:f>
        <x:v>0</x:v>
      </x:c>
      <x:c r="S309" s="30" t="n">
        <x:f>IF(H309="No",0,ROUND(P309*0.45+Q309*0.30+R309*0.15+IF(M309="Easy",10,IF(M309="Medium",6,2))+IF(N309="High",5,IF(N309="Medium",3,0)),1))</x:f>
        <x:v>0</x:v>
      </x:c>
      <x:c r="T309" s="14" t="str">
        <x:f>IF(H309="No","Exclude",IF(S309&gt;=70,"Priority 1",IF(S309&gt;=55,"Priority 2",IF(S309&gt;=40,"Priority 3","Low priority"))))</x:f>
        <x:v>Exclude</x:v>
      </x:c>
    </x:row>
    <x:row r="310">
      <x:c r="A310" s="14" t="n">
        <x:v>309</x:v>
      </x:c>
      <x:c r="B310" s="18" t="str">
        <x:v>calculator app for android</x:v>
      </x:c>
      <x:c r="C310" s="18" t="str">
        <x:v>navigational, commercial</x:v>
      </x:c>
      <x:c r="D310" s="26" t="n">
        <x:v>2900</x:v>
      </x:c>
      <x:c r="E310" s="28" t="n">
        <x:v>1.49</x:v>
      </x:c>
      <x:c r="F310" s="14" t="n">
        <x:v>23</x:v>
      </x:c>
      <x:c r="G310" s="14" t="n">
        <x:v>50</x:v>
      </x:c>
      <x:c r="H310" s="14" t="str">
        <x:v>No</x:v>
      </x:c>
      <x:c r="I310" s="18" t="str">
        <x:v>App/product/brand/navigation/media intent rather than a calculation</x:v>
      </x:c>
      <x:c r="J310" s="18" t="str">
        <x:v>Excluded / Non-calculator</x:v>
      </x:c>
      <x:c r="K310" s="18" t="str"/>
      <x:c r="L310" s="18" t="n">
        <x:v>0</x:v>
      </x:c>
      <x:c r="M310" s="18" t="str"/>
      <x:c r="N310" s="18" t="str"/>
      <x:c r="O310" s="18" t="str"/>
      <x:c r="P310" s="30" t="n">
        <x:f>MAX(0,100-G310)</x:f>
        <x:v>50</x:v>
      </x:c>
      <x:c r="Q310" s="30" t="n">
        <x:f>MIN(100,ROUND(LOG10(D310+1)*18,0))</x:f>
        <x:v>62</x:v>
      </x:c>
      <x:c r="R310" s="30" t="n">
        <x:f>MIN(100,ROUND(E310*12,0))</x:f>
        <x:v>18</x:v>
      </x:c>
      <x:c r="S310" s="30" t="n">
        <x:f>IF(H310="No",0,ROUND(P310*0.45+Q310*0.30+R310*0.15+IF(M310="Easy",10,IF(M310="Medium",6,2))+IF(N310="High",5,IF(N310="Medium",3,0)),1))</x:f>
        <x:v>0</x:v>
      </x:c>
      <x:c r="T310" s="14" t="str">
        <x:f>IF(H310="No","Exclude",IF(S310&gt;=70,"Priority 1",IF(S310&gt;=55,"Priority 2",IF(S310&gt;=40,"Priority 3","Low priority"))))</x:f>
        <x:v>Exclude</x:v>
      </x:c>
    </x:row>
    <x:row r="311">
      <x:c r="A311" s="14" t="n">
        <x:v>310</x:v>
      </x:c>
      <x:c r="B311" s="18" t="str">
        <x:v>calculator on iphone</x:v>
      </x:c>
      <x:c r="C311" s="18" t="str">
        <x:v>informational</x:v>
      </x:c>
      <x:c r="D311" s="26" t="n">
        <x:v>2900</x:v>
      </x:c>
      <x:c r="E311" s="28" t="n">
        <x:v>1.09</x:v>
      </x:c>
      <x:c r="F311" s="14" t="n">
        <x:v>1</x:v>
      </x:c>
      <x:c r="G311" s="14" t="n">
        <x:v>50</x:v>
      </x:c>
      <x:c r="H311" s="14" t="str">
        <x:v>No</x:v>
      </x:c>
      <x:c r="I311" s="18" t="str">
        <x:v>App/product/brand/navigation/media intent rather than a calculation</x:v>
      </x:c>
      <x:c r="J311" s="18" t="str">
        <x:v>Excluded / Non-calculator</x:v>
      </x:c>
      <x:c r="K311" s="18" t="str"/>
      <x:c r="L311" s="18" t="n">
        <x:v>0</x:v>
      </x:c>
      <x:c r="M311" s="18" t="str"/>
      <x:c r="N311" s="18" t="str"/>
      <x:c r="O311" s="18" t="str"/>
      <x:c r="P311" s="30" t="n">
        <x:f>MAX(0,100-G311)</x:f>
        <x:v>50</x:v>
      </x:c>
      <x:c r="Q311" s="30" t="n">
        <x:f>MIN(100,ROUND(LOG10(D311+1)*18,0))</x:f>
        <x:v>62</x:v>
      </x:c>
      <x:c r="R311" s="30" t="n">
        <x:f>MIN(100,ROUND(E311*12,0))</x:f>
        <x:v>13</x:v>
      </x:c>
      <x:c r="S311" s="30" t="n">
        <x:f>IF(H311="No",0,ROUND(P311*0.45+Q311*0.30+R311*0.15+IF(M311="Easy",10,IF(M311="Medium",6,2))+IF(N311="High",5,IF(N311="Medium",3,0)),1))</x:f>
        <x:v>0</x:v>
      </x:c>
      <x:c r="T311" s="14" t="str">
        <x:f>IF(H311="No","Exclude",IF(S311&gt;=70,"Priority 1",IF(S311&gt;=55,"Priority 2",IF(S311&gt;=40,"Priority 3","Low priority"))))</x:f>
        <x:v>Exclude</x:v>
      </x:c>
    </x:row>
    <x:row r="312">
      <x:c r="A312" s="14" t="n">
        <x:v>311</x:v>
      </x:c>
      <x:c r="B312" s="18" t="str">
        <x:v>calculator 6 months from date</x:v>
      </x:c>
      <x:c r="C312" s="18" t="str">
        <x:v>null</x:v>
      </x:c>
      <x:c r="D312" s="26" t="n">
        <x:v>0</x:v>
      </x:c>
      <x:c r="E312" s="28" t="n">
        <x:v>0</x:v>
      </x:c>
      <x:c r="F312" s="14" t="n">
        <x:v>1</x:v>
      </x:c>
      <x:c r="G312" s="14" t="n">
        <x:v>50</x:v>
      </x:c>
      <x:c r="H312" s="14" t="str">
        <x:v>Yes</x:v>
      </x:c>
      <x:c r="I312" s="18" t="str">
        <x:v>Clear calculation, conversion, estimation, or formula intent</x:v>
      </x:c>
      <x:c r="J312" s="18" t="str">
        <x:v>Date &amp; Time</x:v>
      </x:c>
      <x:c r="K312" s="18" t="str">
        <x:v>Date calculator</x:v>
      </x:c>
      <x:c r="L312" s="18" t="n">
        <x:v>9</x:v>
      </x:c>
      <x:c r="M312" s="18" t="str">
        <x:v>Easy</x:v>
      </x:c>
      <x:c r="N312" s="18" t="str">
        <x:v>Medium</x:v>
      </x:c>
      <x:c r="O312" s="18" t="str">
        <x:v>Ads</x:v>
      </x:c>
      <x:c r="P312" s="30" t="n">
        <x:f>MAX(0,100-G312)</x:f>
        <x:v>50</x:v>
      </x:c>
      <x:c r="Q312" s="30" t="n">
        <x:f>MIN(100,ROUND(LOG10(D312+1)*18,0))</x:f>
        <x:v>0</x:v>
      </x:c>
      <x:c r="R312" s="30" t="n">
        <x:f>MIN(100,ROUND(E312*12,0))</x:f>
        <x:v>0</x:v>
      </x:c>
      <x:c r="S312" s="30" t="n">
        <x:f>IF(H312="No",0,ROUND(P312*0.45+Q312*0.30+R312*0.15+IF(M312="Easy",10,IF(M312="Medium",6,2))+IF(N312="High",5,IF(N312="Medium",3,0)),1))</x:f>
        <x:v>35.5</x:v>
      </x:c>
      <x:c r="T312" s="14" t="str">
        <x:f>IF(H312="No","Exclude",IF(S312&gt;=70,"Priority 1",IF(S312&gt;=55,"Priority 2",IF(S312&gt;=40,"Priority 3","Low priority"))))</x:f>
        <x:v>Low priority</x:v>
      </x:c>
    </x:row>
    <x:row r="313">
      <x:c r="A313" s="14" t="n">
        <x:v>312</x:v>
      </x:c>
      <x:c r="B313" s="18" t="str">
        <x:v>calculator quadratic formula</x:v>
      </x:c>
      <x:c r="C313" s="18" t="str">
        <x:v>informational</x:v>
      </x:c>
      <x:c r="D313" s="26" t="n">
        <x:v>49500</x:v>
      </x:c>
      <x:c r="E313" s="28" t="n">
        <x:v>0.35</x:v>
      </x:c>
      <x:c r="F313" s="14" t="n">
        <x:v>1</x:v>
      </x:c>
      <x:c r="G313" s="14" t="n">
        <x:v>51</x:v>
      </x:c>
      <x:c r="H313" s="14" t="str">
        <x:v>Yes</x:v>
      </x:c>
      <x:c r="I313" s="18" t="str">
        <x:v>Clear calculation, conversion, estimation, or formula intent</x:v>
      </x:c>
      <x:c r="J313" s="18" t="str">
        <x:v>Math &amp; Education</x:v>
      </x:c>
      <x:c r="K313" s="18" t="str">
        <x:v>Quadratic equation calculator</x:v>
      </x:c>
      <x:c r="L313" s="18" t="n">
        <x:v>3</x:v>
      </x:c>
      <x:c r="M313" s="18" t="str">
        <x:v>Easy</x:v>
      </x:c>
      <x:c r="N313" s="18" t="str">
        <x:v>Medium</x:v>
      </x:c>
      <x:c r="O313" s="18" t="str">
        <x:v>Ads / EdTech</x:v>
      </x:c>
      <x:c r="P313" s="30" t="n">
        <x:f>MAX(0,100-G313)</x:f>
        <x:v>49</x:v>
      </x:c>
      <x:c r="Q313" s="30" t="n">
        <x:f>MIN(100,ROUND(LOG10(D313+1)*18,0))</x:f>
        <x:v>85</x:v>
      </x:c>
      <x:c r="R313" s="30" t="n">
        <x:f>MIN(100,ROUND(E313*12,0))</x:f>
        <x:v>4</x:v>
      </x:c>
      <x:c r="S313" s="30" t="n">
        <x:f>IF(H313="No",0,ROUND(P313*0.45+Q313*0.30+R313*0.15+IF(M313="Easy",10,IF(M313="Medium",6,2))+IF(N313="High",5,IF(N313="Medium",3,0)),1))</x:f>
        <x:v>61.2</x:v>
      </x:c>
      <x:c r="T313" s="14" t="str">
        <x:f>IF(H313="No","Exclude",IF(S313&gt;=70,"Priority 1",IF(S313&gt;=55,"Priority 2",IF(S313&gt;=40,"Priority 3","Low priority"))))</x:f>
        <x:v>Priority 2</x:v>
      </x:c>
    </x:row>
    <x:row r="314">
      <x:c r="A314" s="14" t="n">
        <x:v>313</x:v>
      </x:c>
      <x:c r="B314" s="18" t="str">
        <x:v>calculator dc</x:v>
      </x:c>
      <x:c r="C314" s="18" t="str">
        <x:v>navigational</x:v>
      </x:c>
      <x:c r="D314" s="26" t="n">
        <x:v>720</x:v>
      </x:c>
      <x:c r="E314" s="28" t="n">
        <x:v>0</x:v>
      </x:c>
      <x:c r="F314" s="14" t="n">
        <x:v>1</x:v>
      </x:c>
      <x:c r="G314" s="14" t="n">
        <x:v>51</x:v>
      </x:c>
      <x:c r="H314" s="14" t="str">
        <x:v>Maybe</x:v>
      </x:c>
      <x:c r="I314" s="18" t="str">
        <x:v>Insufficiently specific; requires SERP validation before development</x:v>
      </x:c>
      <x:c r="J314" s="18" t="str">
        <x:v>General / Other</x:v>
      </x:c>
      <x:c r="K314" s="18" t="str">
        <x:v>Dc calculator</x:v>
      </x:c>
      <x:c r="L314" s="18" t="n">
        <x:v>1</x:v>
      </x:c>
      <x:c r="M314" s="18" t="str">
        <x:v>Easy</x:v>
      </x:c>
      <x:c r="N314" s="18" t="str">
        <x:v>Medium</x:v>
      </x:c>
      <x:c r="O314" s="18" t="str">
        <x:v>Ads</x:v>
      </x:c>
      <x:c r="P314" s="30" t="n">
        <x:f>MAX(0,100-G314)</x:f>
        <x:v>49</x:v>
      </x:c>
      <x:c r="Q314" s="30" t="n">
        <x:f>MIN(100,ROUND(LOG10(D314+1)*18,0))</x:f>
        <x:v>51</x:v>
      </x:c>
      <x:c r="R314" s="30" t="n">
        <x:f>MIN(100,ROUND(E314*12,0))</x:f>
        <x:v>0</x:v>
      </x:c>
      <x:c r="S314" s="30" t="n">
        <x:f>IF(H314="No",0,ROUND(P314*0.45+Q314*0.30+R314*0.15+IF(M314="Easy",10,IF(M314="Medium",6,2))+IF(N314="High",5,IF(N314="Medium",3,0)),1))</x:f>
        <x:v>50.4</x:v>
      </x:c>
      <x:c r="T314" s="14" t="str">
        <x:f>IF(H314="No","Exclude",IF(S314&gt;=70,"Priority 1",IF(S314&gt;=55,"Priority 2",IF(S314&gt;=40,"Priority 3","Low priority"))))</x:f>
        <x:v>Priority 3</x:v>
      </x:c>
    </x:row>
    <x:row r="315">
      <x:c r="A315" s="14" t="n">
        <x:v>314</x:v>
      </x:c>
      <x:c r="B315" s="18" t="str">
        <x:v>calculator geek</x:v>
      </x:c>
      <x:c r="C315" s="18" t="str">
        <x:v>transactional, navigational, informational</x:v>
      </x:c>
      <x:c r="D315" s="26" t="n">
        <x:v>390</x:v>
      </x:c>
      <x:c r="E315" s="28" t="n">
        <x:v>0.02</x:v>
      </x:c>
      <x:c r="F315" s="14" t="n">
        <x:v>1</x:v>
      </x:c>
      <x:c r="G315" s="14" t="n">
        <x:v>51</x:v>
      </x:c>
      <x:c r="H315" s="14" t="str">
        <x:v>No</x:v>
      </x:c>
      <x:c r="I315" s="18" t="str">
        <x:v>App/product/brand/navigation/media intent rather than a calculation</x:v>
      </x:c>
      <x:c r="J315" s="18" t="str">
        <x:v>Excluded / Non-calculator</x:v>
      </x:c>
      <x:c r="K315" s="18" t="str"/>
      <x:c r="L315" s="18" t="n">
        <x:v>0</x:v>
      </x:c>
      <x:c r="M315" s="18" t="str"/>
      <x:c r="N315" s="18" t="str"/>
      <x:c r="O315" s="18" t="str"/>
      <x:c r="P315" s="30" t="n">
        <x:f>MAX(0,100-G315)</x:f>
        <x:v>49</x:v>
      </x:c>
      <x:c r="Q315" s="30" t="n">
        <x:f>MIN(100,ROUND(LOG10(D315+1)*18,0))</x:f>
        <x:v>47</x:v>
      </x:c>
      <x:c r="R315" s="30" t="n">
        <x:f>MIN(100,ROUND(E315*12,0))</x:f>
        <x:v>0</x:v>
      </x:c>
      <x:c r="S315" s="30" t="n">
        <x:f>IF(H315="No",0,ROUND(P315*0.45+Q315*0.30+R315*0.15+IF(M315="Easy",10,IF(M315="Medium",6,2))+IF(N315="High",5,IF(N315="Medium",3,0)),1))</x:f>
        <x:v>0</x:v>
      </x:c>
      <x:c r="T315" s="14" t="str">
        <x:f>IF(H315="No","Exclude",IF(S315&gt;=70,"Priority 1",IF(S315&gt;=55,"Priority 2",IF(S315&gt;=40,"Priority 3","Low priority"))))</x:f>
        <x:v>Exclude</x:v>
      </x:c>
    </x:row>
    <x:row r="316">
      <x:c r="A316" s="14" t="n">
        <x:v>315</x:v>
      </x:c>
      <x:c r="B316" s="18" t="str">
        <x:v>calculator method</x:v>
      </x:c>
      <x:c r="C316" s="18" t="str">
        <x:v>informational</x:v>
      </x:c>
      <x:c r="D316" s="26" t="n">
        <x:v>210</x:v>
      </x:c>
      <x:c r="E316" s="28" t="n">
        <x:v>0</x:v>
      </x:c>
      <x:c r="F316" s="14" t="n">
        <x:v>1</x:v>
      </x:c>
      <x:c r="G316" s="14" t="n">
        <x:v>51</x:v>
      </x:c>
      <x:c r="H316" s="14" t="str">
        <x:v>No</x:v>
      </x:c>
      <x:c r="I316" s="18" t="str">
        <x:v>App/product/brand/navigation/media intent rather than a calculation</x:v>
      </x:c>
      <x:c r="J316" s="18" t="str">
        <x:v>Excluded / Non-calculator</x:v>
      </x:c>
      <x:c r="K316" s="18" t="str"/>
      <x:c r="L316" s="18" t="n">
        <x:v>0</x:v>
      </x:c>
      <x:c r="M316" s="18" t="str"/>
      <x:c r="N316" s="18" t="str"/>
      <x:c r="O316" s="18" t="str"/>
      <x:c r="P316" s="30" t="n">
        <x:f>MAX(0,100-G316)</x:f>
        <x:v>49</x:v>
      </x:c>
      <x:c r="Q316" s="30" t="n">
        <x:f>MIN(100,ROUND(LOG10(D316+1)*18,0))</x:f>
        <x:v>42</x:v>
      </x:c>
      <x:c r="R316" s="30" t="n">
        <x:f>MIN(100,ROUND(E316*12,0))</x:f>
        <x:v>0</x:v>
      </x:c>
      <x:c r="S316" s="30" t="n">
        <x:f>IF(H316="No",0,ROUND(P316*0.45+Q316*0.30+R316*0.15+IF(M316="Easy",10,IF(M316="Medium",6,2))+IF(N316="High",5,IF(N316="Medium",3,0)),1))</x:f>
        <x:v>0</x:v>
      </x:c>
      <x:c r="T316" s="14" t="str">
        <x:f>IF(H316="No","Exclude",IF(S316&gt;=70,"Priority 1",IF(S316&gt;=55,"Priority 2",IF(S316&gt;=40,"Priority 3","Low priority"))))</x:f>
        <x:v>Exclude</x:v>
      </x:c>
    </x:row>
    <x:row r="317">
      <x:c r="A317" s="14" t="n">
        <x:v>316</x:v>
      </x:c>
      <x:c r="B317" s="18" t="str">
        <x:v>calculator retirement</x:v>
      </x:c>
      <x:c r="C317" s="18" t="str">
        <x:v>null</x:v>
      </x:c>
      <x:c r="D317" s="26" t="n">
        <x:v>368000</x:v>
      </x:c>
      <x:c r="E317" s="28" t="n">
        <x:v>2.27</x:v>
      </x:c>
      <x:c r="F317" s="14" t="n">
        <x:v>15</x:v>
      </x:c>
      <x:c r="G317" s="14" t="n">
        <x:v>52</x:v>
      </x:c>
      <x:c r="H317" s="14" t="str">
        <x:v>Yes</x:v>
      </x:c>
      <x:c r="I317" s="18" t="str">
        <x:v>Clear calculation, conversion, estimation, or formula intent</x:v>
      </x:c>
      <x:c r="J317" s="18" t="str">
        <x:v>Personal Finance &amp; Investing</x:v>
      </x:c>
      <x:c r="K317" s="18" t="str">
        <x:v>Retirement calculator</x:v>
      </x:c>
      <x:c r="L317" s="18" t="n">
        <x:v>1</x:v>
      </x:c>
      <x:c r="M317" s="18" t="str">
        <x:v>Complex</x:v>
      </x:c>
      <x:c r="N317" s="18" t="str">
        <x:v>High</x:v>
      </x:c>
      <x:c r="O317" s="18" t="str">
        <x:v>Ads / Leads / Affiliate</x:v>
      </x:c>
      <x:c r="P317" s="30" t="n">
        <x:f>MAX(0,100-G317)</x:f>
        <x:v>48</x:v>
      </x:c>
      <x:c r="Q317" s="30" t="n">
        <x:f>MIN(100,ROUND(LOG10(D317+1)*18,0))</x:f>
        <x:v>100</x:v>
      </x:c>
      <x:c r="R317" s="30" t="n">
        <x:f>MIN(100,ROUND(E317*12,0))</x:f>
        <x:v>27</x:v>
      </x:c>
      <x:c r="S317" s="30" t="n">
        <x:f>IF(H317="No",0,ROUND(P317*0.45+Q317*0.30+R317*0.15+IF(M317="Easy",10,IF(M317="Medium",6,2))+IF(N317="High",5,IF(N317="Medium",3,0)),1))</x:f>
        <x:v>62.7</x:v>
      </x:c>
      <x:c r="T317" s="14" t="str">
        <x:f>IF(H317="No","Exclude",IF(S317&gt;=70,"Priority 1",IF(S317&gt;=55,"Priority 2",IF(S317&gt;=40,"Priority 3","Low priority"))))</x:f>
        <x:v>Priority 2</x:v>
      </x:c>
    </x:row>
    <x:row r="318">
      <x:c r="A318" s="14" t="n">
        <x:v>317</x:v>
      </x:c>
      <x:c r="B318" s="18" t="str">
        <x:v>calculator percentage off</x:v>
      </x:c>
      <x:c r="C318" s="18" t="str">
        <x:v>informational</x:v>
      </x:c>
      <x:c r="D318" s="26" t="n">
        <x:v>40500</x:v>
      </x:c>
      <x:c r="E318" s="28" t="n">
        <x:v>0</x:v>
      </x:c>
      <x:c r="F318" s="14" t="n">
        <x:v>1</x:v>
      </x:c>
      <x:c r="G318" s="14" t="n">
        <x:v>52</x:v>
      </x:c>
      <x:c r="H318" s="14" t="str">
        <x:v>Yes</x:v>
      </x:c>
      <x:c r="I318" s="18" t="str">
        <x:v>Clear calculation, conversion, estimation, or formula intent</x:v>
      </x:c>
      <x:c r="J318" s="18" t="str">
        <x:v>Date &amp; Time</x:v>
      </x:c>
      <x:c r="K318" s="18" t="str">
        <x:v>Discount/percentage-off calculator</x:v>
      </x:c>
      <x:c r="L318" s="18" t="n">
        <x:v>3</x:v>
      </x:c>
      <x:c r="M318" s="18" t="str">
        <x:v>Easy</x:v>
      </x:c>
      <x:c r="N318" s="18" t="str">
        <x:v>Medium</x:v>
      </x:c>
      <x:c r="O318" s="18" t="str">
        <x:v>Ads</x:v>
      </x:c>
      <x:c r="P318" s="30" t="n">
        <x:f>MAX(0,100-G318)</x:f>
        <x:v>48</x:v>
      </x:c>
      <x:c r="Q318" s="30" t="n">
        <x:f>MIN(100,ROUND(LOG10(D318+1)*18,0))</x:f>
        <x:v>83</x:v>
      </x:c>
      <x:c r="R318" s="30" t="n">
        <x:f>MIN(100,ROUND(E318*12,0))</x:f>
        <x:v>0</x:v>
      </x:c>
      <x:c r="S318" s="30" t="n">
        <x:f>IF(H318="No",0,ROUND(P318*0.45+Q318*0.30+R318*0.15+IF(M318="Easy",10,IF(M318="Medium",6,2))+IF(N318="High",5,IF(N318="Medium",3,0)),1))</x:f>
        <x:v>59.5</x:v>
      </x:c>
      <x:c r="T318" s="14" t="str">
        <x:f>IF(H318="No","Exclude",IF(S318&gt;=70,"Priority 1",IF(S318&gt;=55,"Priority 2",IF(S318&gt;=40,"Priority 3","Low priority"))))</x:f>
        <x:v>Priority 2</x:v>
      </x:c>
    </x:row>
    <x:row r="319">
      <x:c r="A319" s="14" t="n">
        <x:v>318</x:v>
      </x:c>
      <x:c r="B319" s="18" t="str">
        <x:v>calculator excel</x:v>
      </x:c>
      <x:c r="C319" s="18" t="str">
        <x:v>informational</x:v>
      </x:c>
      <x:c r="D319" s="26" t="n">
        <x:v>1000</x:v>
      </x:c>
      <x:c r="E319" s="28" t="n">
        <x:v>4.89</x:v>
      </x:c>
      <x:c r="F319" s="14" t="n">
        <x:v>2</x:v>
      </x:c>
      <x:c r="G319" s="14" t="n">
        <x:v>52</x:v>
      </x:c>
      <x:c r="H319" s="14" t="str">
        <x:v>Maybe</x:v>
      </x:c>
      <x:c r="I319" s="18" t="str">
        <x:v>Insufficiently specific; requires SERP validation before development</x:v>
      </x:c>
      <x:c r="J319" s="18" t="str">
        <x:v>General / Other</x:v>
      </x:c>
      <x:c r="K319" s="18" t="str">
        <x:v>Excel calculator</x:v>
      </x:c>
      <x:c r="L319" s="18" t="n">
        <x:v>1</x:v>
      </x:c>
      <x:c r="M319" s="18" t="str">
        <x:v>Easy</x:v>
      </x:c>
      <x:c r="N319" s="18" t="str">
        <x:v>Medium</x:v>
      </x:c>
      <x:c r="O319" s="18" t="str">
        <x:v>Ads</x:v>
      </x:c>
      <x:c r="P319" s="30" t="n">
        <x:f>MAX(0,100-G319)</x:f>
        <x:v>48</x:v>
      </x:c>
      <x:c r="Q319" s="30" t="n">
        <x:f>MIN(100,ROUND(LOG10(D319+1)*18,0))</x:f>
        <x:v>54</x:v>
      </x:c>
      <x:c r="R319" s="30" t="n">
        <x:f>MIN(100,ROUND(E319*12,0))</x:f>
        <x:v>59</x:v>
      </x:c>
      <x:c r="S319" s="30" t="n">
        <x:f>IF(H319="No",0,ROUND(P319*0.45+Q319*0.30+R319*0.15+IF(M319="Easy",10,IF(M319="Medium",6,2))+IF(N319="High",5,IF(N319="Medium",3,0)),1))</x:f>
        <x:v>59.7</x:v>
      </x:c>
      <x:c r="T319" s="14" t="str">
        <x:f>IF(H319="No","Exclude",IF(S319&gt;=70,"Priority 1",IF(S319&gt;=55,"Priority 2",IF(S319&gt;=40,"Priority 3","Low priority"))))</x:f>
        <x:v>Priority 2</x:v>
      </x:c>
    </x:row>
    <x:row r="320">
      <x:c r="A320" s="14" t="n">
        <x:v>319</x:v>
      </x:c>
      <x:c r="B320" s="18" t="str">
        <x:v>calculator for statistics</x:v>
      </x:c>
      <x:c r="C320" s="18" t="str">
        <x:v>informational</x:v>
      </x:c>
      <x:c r="D320" s="26" t="n">
        <x:v>590</x:v>
      </x:c>
      <x:c r="E320" s="28" t="n">
        <x:v>0.88</x:v>
      </x:c>
      <x:c r="F320" s="14" t="n">
        <x:v>71</x:v>
      </x:c>
      <x:c r="G320" s="14" t="n">
        <x:v>52</x:v>
      </x:c>
      <x:c r="H320" s="14" t="str">
        <x:v>Yes</x:v>
      </x:c>
      <x:c r="I320" s="18" t="str">
        <x:v>Clear calculation, conversion, estimation, or formula intent</x:v>
      </x:c>
      <x:c r="J320" s="18" t="str">
        <x:v>Math &amp; Education</x:v>
      </x:c>
      <x:c r="K320" s="18" t="str">
        <x:v>Statistics calculator</x:v>
      </x:c>
      <x:c r="L320" s="18" t="n">
        <x:v>1</x:v>
      </x:c>
      <x:c r="M320" s="18" t="str">
        <x:v>Easy</x:v>
      </x:c>
      <x:c r="N320" s="18" t="str">
        <x:v>Medium</x:v>
      </x:c>
      <x:c r="O320" s="18" t="str">
        <x:v>Ads / EdTech</x:v>
      </x:c>
      <x:c r="P320" s="30" t="n">
        <x:f>MAX(0,100-G320)</x:f>
        <x:v>48</x:v>
      </x:c>
      <x:c r="Q320" s="30" t="n">
        <x:f>MIN(100,ROUND(LOG10(D320+1)*18,0))</x:f>
        <x:v>50</x:v>
      </x:c>
      <x:c r="R320" s="30" t="n">
        <x:f>MIN(100,ROUND(E320*12,0))</x:f>
        <x:v>11</x:v>
      </x:c>
      <x:c r="S320" s="30" t="n">
        <x:f>IF(H320="No",0,ROUND(P320*0.45+Q320*0.30+R320*0.15+IF(M320="Easy",10,IF(M320="Medium",6,2))+IF(N320="High",5,IF(N320="Medium",3,0)),1))</x:f>
        <x:v>51.3</x:v>
      </x:c>
      <x:c r="T320" s="14" t="str">
        <x:f>IF(H320="No","Exclude",IF(S320&gt;=70,"Priority 1",IF(S320&gt;=55,"Priority 2",IF(S320&gt;=40,"Priority 3","Low priority"))))</x:f>
        <x:v>Priority 3</x:v>
      </x:c>
    </x:row>
    <x:row r="321">
      <x:c r="A321" s="14" t="n">
        <x:v>320</x:v>
      </x:c>
      <x:c r="B321" s="18" t="str">
        <x:v>calculator inches to feet</x:v>
      </x:c>
      <x:c r="C321" s="18" t="str">
        <x:v>informational</x:v>
      </x:c>
      <x:c r="D321" s="26" t="n">
        <x:v>210</x:v>
      </x:c>
      <x:c r="E321" s="28" t="n">
        <x:v>0</x:v>
      </x:c>
      <x:c r="F321" s="14" t="n">
        <x:v>1</x:v>
      </x:c>
      <x:c r="G321" s="14" t="n">
        <x:v>52</x:v>
      </x:c>
      <x:c r="H321" s="14" t="str">
        <x:v>Yes</x:v>
      </x:c>
      <x:c r="I321" s="18" t="str">
        <x:v>Clear calculation, conversion, estimation, or formula intent</x:v>
      </x:c>
      <x:c r="J321" s="18" t="str">
        <x:v>Conversions &amp; Units</x:v>
      </x:c>
      <x:c r="K321" s="18" t="str">
        <x:v>Inches To Feet calculator</x:v>
      </x:c>
      <x:c r="L321" s="18" t="n">
        <x:v>1</x:v>
      </x:c>
      <x:c r="M321" s="18" t="str">
        <x:v>Easy</x:v>
      </x:c>
      <x:c r="N321" s="18" t="str">
        <x:v>Medium</x:v>
      </x:c>
      <x:c r="O321" s="18" t="str">
        <x:v>Ads</x:v>
      </x:c>
      <x:c r="P321" s="30" t="n">
        <x:f>MAX(0,100-G321)</x:f>
        <x:v>48</x:v>
      </x:c>
      <x:c r="Q321" s="30" t="n">
        <x:f>MIN(100,ROUND(LOG10(D321+1)*18,0))</x:f>
        <x:v>42</x:v>
      </x:c>
      <x:c r="R321" s="30" t="n">
        <x:f>MIN(100,ROUND(E321*12,0))</x:f>
        <x:v>0</x:v>
      </x:c>
      <x:c r="S321" s="30" t="n">
        <x:f>IF(H321="No",0,ROUND(P321*0.45+Q321*0.30+R321*0.15+IF(M321="Easy",10,IF(M321="Medium",6,2))+IF(N321="High",5,IF(N321="Medium",3,0)),1))</x:f>
        <x:v>47.2</x:v>
      </x:c>
      <x:c r="T321" s="14" t="str">
        <x:f>IF(H321="No","Exclude",IF(S321&gt;=70,"Priority 1",IF(S321&gt;=55,"Priority 2",IF(S321&gt;=40,"Priority 3","Low priority"))))</x:f>
        <x:v>Priority 3</x:v>
      </x:c>
    </x:row>
    <x:row r="322">
      <x:c r="A322" s="14" t="n">
        <x:v>321</x:v>
      </x:c>
      <x:c r="B322" s="18" t="str">
        <x:v>calculator z score</x:v>
      </x:c>
      <x:c r="C322" s="18" t="str">
        <x:v>informational</x:v>
      </x:c>
      <x:c r="D322" s="26" t="n">
        <x:v>40</x:v>
      </x:c>
      <x:c r="E322" s="28" t="n">
        <x:v>0</x:v>
      </x:c>
      <x:c r="F322" s="14" t="n">
        <x:v>1</x:v>
      </x:c>
      <x:c r="G322" s="14" t="n">
        <x:v>52</x:v>
      </x:c>
      <x:c r="H322" s="14" t="str">
        <x:v>Yes</x:v>
      </x:c>
      <x:c r="I322" s="18" t="str">
        <x:v>Clear calculation, conversion, estimation, or formula intent</x:v>
      </x:c>
      <x:c r="J322" s="18" t="str">
        <x:v>Math &amp; Education</x:v>
      </x:c>
      <x:c r="K322" s="18" t="str">
        <x:v>Z Score calculator</x:v>
      </x:c>
      <x:c r="L322" s="18" t="n">
        <x:v>1</x:v>
      </x:c>
      <x:c r="M322" s="18" t="str">
        <x:v>Easy</x:v>
      </x:c>
      <x:c r="N322" s="18" t="str">
        <x:v>Medium</x:v>
      </x:c>
      <x:c r="O322" s="18" t="str">
        <x:v>Ads / EdTech</x:v>
      </x:c>
      <x:c r="P322" s="30" t="n">
        <x:f>MAX(0,100-G322)</x:f>
        <x:v>48</x:v>
      </x:c>
      <x:c r="Q322" s="30" t="n">
        <x:f>MIN(100,ROUND(LOG10(D322+1)*18,0))</x:f>
        <x:v>29</x:v>
      </x:c>
      <x:c r="R322" s="30" t="n">
        <x:f>MIN(100,ROUND(E322*12,0))</x:f>
        <x:v>0</x:v>
      </x:c>
      <x:c r="S322" s="30" t="n">
        <x:f>IF(H322="No",0,ROUND(P322*0.45+Q322*0.30+R322*0.15+IF(M322="Easy",10,IF(M322="Medium",6,2))+IF(N322="High",5,IF(N322="Medium",3,0)),1))</x:f>
        <x:v>43.3</x:v>
      </x:c>
      <x:c r="T322" s="14" t="str">
        <x:f>IF(H322="No","Exclude",IF(S322&gt;=70,"Priority 1",IF(S322&gt;=55,"Priority 2",IF(S322&gt;=40,"Priority 3","Low priority"))))</x:f>
        <x:v>Priority 3</x:v>
      </x:c>
    </x:row>
    <x:row r="323">
      <x:c r="A323" s="14" t="n">
        <x:v>322</x:v>
      </x:c>
      <x:c r="B323" s="18" t="str">
        <x:v>calculator net</x:v>
      </x:c>
      <x:c r="C323" s="18" t="str">
        <x:v>informational, navigational</x:v>
      </x:c>
      <x:c r="D323" s="26" t="n">
        <x:v>33100</x:v>
      </x:c>
      <x:c r="E323" s="28" t="n">
        <x:v>2.53</x:v>
      </x:c>
      <x:c r="F323" s="14" t="n">
        <x:v>1</x:v>
      </x:c>
      <x:c r="G323" s="14" t="n">
        <x:v>53</x:v>
      </x:c>
      <x:c r="H323" s="14" t="str">
        <x:v>Maybe</x:v>
      </x:c>
      <x:c r="I323" s="18" t="str">
        <x:v>Potential calculator intent, but keyword meaning is broad or ambiguous</x:v>
      </x:c>
      <x:c r="J323" s="18" t="str">
        <x:v>General / Other</x:v>
      </x:c>
      <x:c r="K323" s="18" t="str">
        <x:v>Net calculator</x:v>
      </x:c>
      <x:c r="L323" s="18" t="n">
        <x:v>1</x:v>
      </x:c>
      <x:c r="M323" s="18" t="str">
        <x:v>Easy</x:v>
      </x:c>
      <x:c r="N323" s="18" t="str">
        <x:v>Medium</x:v>
      </x:c>
      <x:c r="O323" s="18" t="str">
        <x:v>Ads</x:v>
      </x:c>
      <x:c r="P323" s="30" t="n">
        <x:f>MAX(0,100-G323)</x:f>
        <x:v>47</x:v>
      </x:c>
      <x:c r="Q323" s="30" t="n">
        <x:f>MIN(100,ROUND(LOG10(D323+1)*18,0))</x:f>
        <x:v>81</x:v>
      </x:c>
      <x:c r="R323" s="30" t="n">
        <x:f>MIN(100,ROUND(E323*12,0))</x:f>
        <x:v>30</x:v>
      </x:c>
      <x:c r="S323" s="30" t="n">
        <x:f>IF(H323="No",0,ROUND(P323*0.45+Q323*0.30+R323*0.15+IF(M323="Easy",10,IF(M323="Medium",6,2))+IF(N323="High",5,IF(N323="Medium",3,0)),1))</x:f>
        <x:v>63</x:v>
      </x:c>
      <x:c r="T323" s="14" t="str">
        <x:f>IF(H323="No","Exclude",IF(S323&gt;=70,"Priority 1",IF(S323&gt;=55,"Priority 2",IF(S323&gt;=40,"Priority 3","Low priority"))))</x:f>
        <x:v>Priority 2</x:v>
      </x:c>
    </x:row>
    <x:row r="324">
      <x:c r="A324" s="14" t="n">
        <x:v>323</x:v>
      </x:c>
      <x:c r="B324" s="18" t="str">
        <x:v>calculator birthday</x:v>
      </x:c>
      <x:c r="C324" s="18" t="str">
        <x:v>informational</x:v>
      </x:c>
      <x:c r="D324" s="26" t="n">
        <x:v>33100</x:v>
      </x:c>
      <x:c r="E324" s="28" t="n">
        <x:v>0.33</x:v>
      </x:c>
      <x:c r="F324" s="14" t="n">
        <x:v>3</x:v>
      </x:c>
      <x:c r="G324" s="14" t="n">
        <x:v>53</x:v>
      </x:c>
      <x:c r="H324" s="14" t="str">
        <x:v>Yes</x:v>
      </x:c>
      <x:c r="I324" s="18" t="str">
        <x:v>Clear calculation, conversion, estimation, or formula intent</x:v>
      </x:c>
      <x:c r="J324" s="18" t="str">
        <x:v>Pregnancy &amp; Family</x:v>
      </x:c>
      <x:c r="K324" s="18" t="str">
        <x:v>Birthday calculator</x:v>
      </x:c>
      <x:c r="L324" s="18" t="n">
        <x:v>1</x:v>
      </x:c>
      <x:c r="M324" s="18" t="str">
        <x:v>Easy</x:v>
      </x:c>
      <x:c r="N324" s="18" t="str">
        <x:v>Medium</x:v>
      </x:c>
      <x:c r="O324" s="18" t="str">
        <x:v>Ads / Affiliate</x:v>
      </x:c>
      <x:c r="P324" s="30" t="n">
        <x:f>MAX(0,100-G324)</x:f>
        <x:v>47</x:v>
      </x:c>
      <x:c r="Q324" s="30" t="n">
        <x:f>MIN(100,ROUND(LOG10(D324+1)*18,0))</x:f>
        <x:v>81</x:v>
      </x:c>
      <x:c r="R324" s="30" t="n">
        <x:f>MIN(100,ROUND(E324*12,0))</x:f>
        <x:v>4</x:v>
      </x:c>
      <x:c r="S324" s="30" t="n">
        <x:f>IF(H324="No",0,ROUND(P324*0.45+Q324*0.30+R324*0.15+IF(M324="Easy",10,IF(M324="Medium",6,2))+IF(N324="High",5,IF(N324="Medium",3,0)),1))</x:f>
        <x:v>59.1</x:v>
      </x:c>
      <x:c r="T324" s="14" t="str">
        <x:f>IF(H324="No","Exclude",IF(S324&gt;=70,"Priority 1",IF(S324&gt;=55,"Priority 2",IF(S324&gt;=40,"Priority 3","Low priority"))))</x:f>
        <x:v>Priority 2</x:v>
      </x:c>
    </x:row>
    <x:row r="325">
      <x:c r="A325" s="14" t="n">
        <x:v>324</x:v>
      </x:c>
      <x:c r="B325" s="18" t="str">
        <x:v>calculator hourly pay</x:v>
      </x:c>
      <x:c r="C325" s="18" t="str">
        <x:v>informational</x:v>
      </x:c>
      <x:c r="D325" s="26" t="n">
        <x:v>12100</x:v>
      </x:c>
      <x:c r="E325" s="28" t="n">
        <x:v>2.89</x:v>
      </x:c>
      <x:c r="F325" s="14" t="n">
        <x:v>3</x:v>
      </x:c>
      <x:c r="G325" s="14" t="n">
        <x:v>53</x:v>
      </x:c>
      <x:c r="H325" s="14" t="str">
        <x:v>Yes</x:v>
      </x:c>
      <x:c r="I325" s="18" t="str">
        <x:v>Clear calculation, conversion, estimation, or formula intent</x:v>
      </x:c>
      <x:c r="J325" s="18" t="str">
        <x:v>Salary, Payroll &amp; Tax</x:v>
      </x:c>
      <x:c r="K325" s="18" t="str">
        <x:v>Hourly Pay calculator</x:v>
      </x:c>
      <x:c r="L325" s="18" t="n">
        <x:v>1</x:v>
      </x:c>
      <x:c r="M325" s="18" t="str">
        <x:v>Easy</x:v>
      </x:c>
      <x:c r="N325" s="18" t="str">
        <x:v>High</x:v>
      </x:c>
      <x:c r="O325" s="18" t="str">
        <x:v>Ads / SaaS leads</x:v>
      </x:c>
      <x:c r="P325" s="30" t="n">
        <x:f>MAX(0,100-G325)</x:f>
        <x:v>47</x:v>
      </x:c>
      <x:c r="Q325" s="30" t="n">
        <x:f>MIN(100,ROUND(LOG10(D325+1)*18,0))</x:f>
        <x:v>73</x:v>
      </x:c>
      <x:c r="R325" s="30" t="n">
        <x:f>MIN(100,ROUND(E325*12,0))</x:f>
        <x:v>35</x:v>
      </x:c>
      <x:c r="S325" s="30" t="n">
        <x:f>IF(H325="No",0,ROUND(P325*0.45+Q325*0.30+R325*0.15+IF(M325="Easy",10,IF(M325="Medium",6,2))+IF(N325="High",5,IF(N325="Medium",3,0)),1))</x:f>
        <x:v>63.3</x:v>
      </x:c>
      <x:c r="T325" s="14" t="str">
        <x:f>IF(H325="No","Exclude",IF(S325&gt;=70,"Priority 1",IF(S325&gt;=55,"Priority 2",IF(S325&gt;=40,"Priority 3","Low priority"))))</x:f>
        <x:v>Priority 2</x:v>
      </x:c>
    </x:row>
    <x:row r="326">
      <x:c r="A326" s="14" t="n">
        <x:v>325</x:v>
      </x:c>
      <x:c r="B326" s="18" t="str">
        <x:v>calculator usd to inr</x:v>
      </x:c>
      <x:c r="C326" s="18" t="str">
        <x:v>informational, commercial</x:v>
      </x:c>
      <x:c r="D326" s="26" t="n">
        <x:v>5400</x:v>
      </x:c>
      <x:c r="E326" s="28" t="n">
        <x:v>0.57</x:v>
      </x:c>
      <x:c r="F326" s="14" t="n">
        <x:v>3</x:v>
      </x:c>
      <x:c r="G326" s="14" t="n">
        <x:v>53</x:v>
      </x:c>
      <x:c r="H326" s="14" t="str">
        <x:v>Yes</x:v>
      </x:c>
      <x:c r="I326" s="18" t="str">
        <x:v>Clear calculation, conversion, estimation, or formula intent</x:v>
      </x:c>
      <x:c r="J326" s="18" t="str">
        <x:v>Conversions &amp; Units</x:v>
      </x:c>
      <x:c r="K326" s="18" t="str">
        <x:v>Usd To Inr calculator</x:v>
      </x:c>
      <x:c r="L326" s="18" t="n">
        <x:v>1</x:v>
      </x:c>
      <x:c r="M326" s="18" t="str">
        <x:v>Easy</x:v>
      </x:c>
      <x:c r="N326" s="18" t="str">
        <x:v>Low</x:v>
      </x:c>
      <x:c r="O326" s="18" t="str">
        <x:v>Ads</x:v>
      </x:c>
      <x:c r="P326" s="30" t="n">
        <x:f>MAX(0,100-G326)</x:f>
        <x:v>47</x:v>
      </x:c>
      <x:c r="Q326" s="30" t="n">
        <x:f>MIN(100,ROUND(LOG10(D326+1)*18,0))</x:f>
        <x:v>67</x:v>
      </x:c>
      <x:c r="R326" s="30" t="n">
        <x:f>MIN(100,ROUND(E326*12,0))</x:f>
        <x:v>7</x:v>
      </x:c>
      <x:c r="S326" s="30" t="n">
        <x:f>IF(H326="No",0,ROUND(P326*0.45+Q326*0.30+R326*0.15+IF(M326="Easy",10,IF(M326="Medium",6,2))+IF(N326="High",5,IF(N326="Medium",3,0)),1))</x:f>
        <x:v>52.3</x:v>
      </x:c>
      <x:c r="T326" s="14" t="str">
        <x:f>IF(H326="No","Exclude",IF(S326&gt;=70,"Priority 1",IF(S326&gt;=55,"Priority 2",IF(S326&gt;=40,"Priority 3","Low priority"))))</x:f>
        <x:v>Priority 3</x:v>
      </x:c>
    </x:row>
    <x:row r="327">
      <x:c r="A327" s="14" t="n">
        <x:v>326</x:v>
      </x:c>
      <x:c r="B327" s="18" t="str">
        <x:v>calculator soup hours</x:v>
      </x:c>
      <x:c r="C327" s="18" t="str">
        <x:v>informational</x:v>
      </x:c>
      <x:c r="D327" s="26" t="n">
        <x:v>2400</x:v>
      </x:c>
      <x:c r="E327" s="28" t="n">
        <x:v>0</x:v>
      </x:c>
      <x:c r="F327" s="14" t="n">
        <x:v>1</x:v>
      </x:c>
      <x:c r="G327" s="14" t="n">
        <x:v>53</x:v>
      </x:c>
      <x:c r="H327" s="14" t="str">
        <x:v>Yes</x:v>
      </x:c>
      <x:c r="I327" s="18" t="str">
        <x:v>Clear calculation, conversion, estimation, or formula intent</x:v>
      </x:c>
      <x:c r="J327" s="18" t="str">
        <x:v>Date &amp; Time</x:v>
      </x:c>
      <x:c r="K327" s="18" t="str">
        <x:v>Soup Hours calculator</x:v>
      </x:c>
      <x:c r="L327" s="18" t="n">
        <x:v>1</x:v>
      </x:c>
      <x:c r="M327" s="18" t="str">
        <x:v>Easy</x:v>
      </x:c>
      <x:c r="N327" s="18" t="str">
        <x:v>Medium</x:v>
      </x:c>
      <x:c r="O327" s="18" t="str">
        <x:v>Ads</x:v>
      </x:c>
      <x:c r="P327" s="30" t="n">
        <x:f>MAX(0,100-G327)</x:f>
        <x:v>47</x:v>
      </x:c>
      <x:c r="Q327" s="30" t="n">
        <x:f>MIN(100,ROUND(LOG10(D327+1)*18,0))</x:f>
        <x:v>61</x:v>
      </x:c>
      <x:c r="R327" s="30" t="n">
        <x:f>MIN(100,ROUND(E327*12,0))</x:f>
        <x:v>0</x:v>
      </x:c>
      <x:c r="S327" s="30" t="n">
        <x:f>IF(H327="No",0,ROUND(P327*0.45+Q327*0.30+R327*0.15+IF(M327="Easy",10,IF(M327="Medium",6,2))+IF(N327="High",5,IF(N327="Medium",3,0)),1))</x:f>
        <x:v>52.5</x:v>
      </x:c>
      <x:c r="T327" s="14" t="str">
        <x:f>IF(H327="No","Exclude",IF(S327&gt;=70,"Priority 1",IF(S327&gt;=55,"Priority 2",IF(S327&gt;=40,"Priority 3","Low priority"))))</x:f>
        <x:v>Priority 3</x:v>
      </x:c>
    </x:row>
    <x:row r="328">
      <x:c r="A328" s="14" t="n">
        <x:v>327</x:v>
      </x:c>
      <x:c r="B328" s="18" t="str">
        <x:v>calculator age</x:v>
      </x:c>
      <x:c r="C328" s="18" t="str">
        <x:v>informational</x:v>
      </x:c>
      <x:c r="D328" s="26" t="n">
        <x:v>1300</x:v>
      </x:c>
      <x:c r="E328" s="28" t="n">
        <x:v>1.56</x:v>
      </x:c>
      <x:c r="F328" s="14" t="n">
        <x:v>1</x:v>
      </x:c>
      <x:c r="G328" s="14" t="n">
        <x:v>53</x:v>
      </x:c>
      <x:c r="H328" s="14" t="str">
        <x:v>Yes</x:v>
      </x:c>
      <x:c r="I328" s="18" t="str">
        <x:v>Clear calculation, conversion, estimation, or formula intent</x:v>
      </x:c>
      <x:c r="J328" s="18" t="str">
        <x:v>Date &amp; Time</x:v>
      </x:c>
      <x:c r="K328" s="18" t="str">
        <x:v>Age calculator</x:v>
      </x:c>
      <x:c r="L328" s="18" t="n">
        <x:v>1</x:v>
      </x:c>
      <x:c r="M328" s="18" t="str">
        <x:v>Easy</x:v>
      </x:c>
      <x:c r="N328" s="18" t="str">
        <x:v>Medium</x:v>
      </x:c>
      <x:c r="O328" s="18" t="str">
        <x:v>Ads</x:v>
      </x:c>
      <x:c r="P328" s="30" t="n">
        <x:f>MAX(0,100-G328)</x:f>
        <x:v>47</x:v>
      </x:c>
      <x:c r="Q328" s="30" t="n">
        <x:f>MIN(100,ROUND(LOG10(D328+1)*18,0))</x:f>
        <x:v>56</x:v>
      </x:c>
      <x:c r="R328" s="30" t="n">
        <x:f>MIN(100,ROUND(E328*12,0))</x:f>
        <x:v>19</x:v>
      </x:c>
      <x:c r="S328" s="30" t="n">
        <x:f>IF(H328="No",0,ROUND(P328*0.45+Q328*0.30+R328*0.15+IF(M328="Easy",10,IF(M328="Medium",6,2))+IF(N328="High",5,IF(N328="Medium",3,0)),1))</x:f>
        <x:v>53.8</x:v>
      </x:c>
      <x:c r="T328" s="14" t="str">
        <x:f>IF(H328="No","Exclude",IF(S328&gt;=70,"Priority 1",IF(S328&gt;=55,"Priority 2",IF(S328&gt;=40,"Priority 3","Low priority"))))</x:f>
        <x:v>Priority 3</x:v>
      </x:c>
    </x:row>
    <x:row r="329">
      <x:c r="A329" s="14" t="n">
        <x:v>328</x:v>
      </x:c>
      <x:c r="B329" s="18" t="str">
        <x:v>calculator 2025</x:v>
      </x:c>
      <x:c r="C329" s="18" t="str">
        <x:v>transactional</x:v>
      </x:c>
      <x:c r="D329" s="26" t="n">
        <x:v>320</x:v>
      </x:c>
      <x:c r="E329" s="28" t="n">
        <x:v>6.86</x:v>
      </x:c>
      <x:c r="F329" s="14" t="n">
        <x:v>2</x:v>
      </x:c>
      <x:c r="G329" s="14" t="n">
        <x:v>53</x:v>
      </x:c>
      <x:c r="H329" s="14" t="str">
        <x:v>No</x:v>
      </x:c>
      <x:c r="I329" s="18" t="str">
        <x:v>Model/number query, not a distinct web calculator</x:v>
      </x:c>
      <x:c r="J329" s="18" t="str">
        <x:v>Excluded / Non-calculator</x:v>
      </x:c>
      <x:c r="K329" s="18" t="str"/>
      <x:c r="L329" s="18" t="n">
        <x:v>0</x:v>
      </x:c>
      <x:c r="M329" s="18" t="str"/>
      <x:c r="N329" s="18" t="str"/>
      <x:c r="O329" s="18" t="str"/>
      <x:c r="P329" s="30" t="n">
        <x:f>MAX(0,100-G329)</x:f>
        <x:v>47</x:v>
      </x:c>
      <x:c r="Q329" s="30" t="n">
        <x:f>MIN(100,ROUND(LOG10(D329+1)*18,0))</x:f>
        <x:v>45</x:v>
      </x:c>
      <x:c r="R329" s="30" t="n">
        <x:f>MIN(100,ROUND(E329*12,0))</x:f>
        <x:v>82</x:v>
      </x:c>
      <x:c r="S329" s="30" t="n">
        <x:f>IF(H329="No",0,ROUND(P329*0.45+Q329*0.30+R329*0.15+IF(M329="Easy",10,IF(M329="Medium",6,2))+IF(N329="High",5,IF(N329="Medium",3,0)),1))</x:f>
        <x:v>0</x:v>
      </x:c>
      <x:c r="T329" s="14" t="str">
        <x:f>IF(H329="No","Exclude",IF(S329&gt;=70,"Priority 1",IF(S329&gt;=55,"Priority 2",IF(S329&gt;=40,"Priority 3","Low priority"))))</x:f>
        <x:v>Exclude</x:v>
      </x:c>
    </x:row>
    <x:row r="330">
      <x:c r="A330" s="14" t="n">
        <x:v>329</x:v>
      </x:c>
      <x:c r="B330" s="18" t="str">
        <x:v>calculator de horas</x:v>
      </x:c>
      <x:c r="C330" s="18" t="str">
        <x:v>informational</x:v>
      </x:c>
      <x:c r="D330" s="26" t="n">
        <x:v>260</x:v>
      </x:c>
      <x:c r="E330" s="28" t="n">
        <x:v>0</x:v>
      </x:c>
      <x:c r="F330" s="14" t="n">
        <x:v>1</x:v>
      </x:c>
      <x:c r="G330" s="14" t="n">
        <x:v>53</x:v>
      </x:c>
      <x:c r="H330" s="14" t="str">
        <x:v>Maybe</x:v>
      </x:c>
      <x:c r="I330" s="18" t="str">
        <x:v>Insufficiently specific; requires SERP validation before development</x:v>
      </x:c>
      <x:c r="J330" s="18" t="str">
        <x:v>General / Other</x:v>
      </x:c>
      <x:c r="K330" s="18" t="str">
        <x:v>De Horas calculator</x:v>
      </x:c>
      <x:c r="L330" s="18" t="n">
        <x:v>1</x:v>
      </x:c>
      <x:c r="M330" s="18" t="str">
        <x:v>Easy</x:v>
      </x:c>
      <x:c r="N330" s="18" t="str">
        <x:v>Medium</x:v>
      </x:c>
      <x:c r="O330" s="18" t="str">
        <x:v>Ads</x:v>
      </x:c>
      <x:c r="P330" s="30" t="n">
        <x:f>MAX(0,100-G330)</x:f>
        <x:v>47</x:v>
      </x:c>
      <x:c r="Q330" s="30" t="n">
        <x:f>MIN(100,ROUND(LOG10(D330+1)*18,0))</x:f>
        <x:v>43</x:v>
      </x:c>
      <x:c r="R330" s="30" t="n">
        <x:f>MIN(100,ROUND(E330*12,0))</x:f>
        <x:v>0</x:v>
      </x:c>
      <x:c r="S330" s="30" t="n">
        <x:f>IF(H330="No",0,ROUND(P330*0.45+Q330*0.30+R330*0.15+IF(M330="Easy",10,IF(M330="Medium",6,2))+IF(N330="High",5,IF(N330="Medium",3,0)),1))</x:f>
        <x:v>47.1</x:v>
      </x:c>
      <x:c r="T330" s="14" t="str">
        <x:f>IF(H330="No","Exclude",IF(S330&gt;=70,"Priority 1",IF(S330&gt;=55,"Priority 2",IF(S330&gt;=40,"Priority 3","Low priority"))))</x:f>
        <x:v>Priority 3</x:v>
      </x:c>
    </x:row>
    <x:row r="331">
      <x:c r="A331" s="14" t="n">
        <x:v>330</x:v>
      </x:c>
      <x:c r="B331" s="18" t="str">
        <x:v>calculator duration</x:v>
      </x:c>
      <x:c r="C331" s="18" t="str">
        <x:v>informational</x:v>
      </x:c>
      <x:c r="D331" s="26" t="n">
        <x:v>18100</x:v>
      </x:c>
      <x:c r="E331" s="28" t="n">
        <x:v>0</x:v>
      </x:c>
      <x:c r="F331" s="14" t="n">
        <x:v>1</x:v>
      </x:c>
      <x:c r="G331" s="14" t="n">
        <x:v>54</x:v>
      </x:c>
      <x:c r="H331" s="14" t="str">
        <x:v>Yes</x:v>
      </x:c>
      <x:c r="I331" s="18" t="str">
        <x:v>Clear calculation, conversion, estimation, or formula intent</x:v>
      </x:c>
      <x:c r="J331" s="18" t="str">
        <x:v>Date &amp; Time</x:v>
      </x:c>
      <x:c r="K331" s="18" t="str">
        <x:v>Duration calculator</x:v>
      </x:c>
      <x:c r="L331" s="18" t="n">
        <x:v>1</x:v>
      </x:c>
      <x:c r="M331" s="18" t="str">
        <x:v>Easy</x:v>
      </x:c>
      <x:c r="N331" s="18" t="str">
        <x:v>Medium</x:v>
      </x:c>
      <x:c r="O331" s="18" t="str">
        <x:v>Ads</x:v>
      </x:c>
      <x:c r="P331" s="30" t="n">
        <x:f>MAX(0,100-G331)</x:f>
        <x:v>46</x:v>
      </x:c>
      <x:c r="Q331" s="30" t="n">
        <x:f>MIN(100,ROUND(LOG10(D331+1)*18,0))</x:f>
        <x:v>77</x:v>
      </x:c>
      <x:c r="R331" s="30" t="n">
        <x:f>MIN(100,ROUND(E331*12,0))</x:f>
        <x:v>0</x:v>
      </x:c>
      <x:c r="S331" s="30" t="n">
        <x:f>IF(H331="No",0,ROUND(P331*0.45+Q331*0.30+R331*0.15+IF(M331="Easy",10,IF(M331="Medium",6,2))+IF(N331="High",5,IF(N331="Medium",3,0)),1))</x:f>
        <x:v>56.8</x:v>
      </x:c>
      <x:c r="T331" s="14" t="str">
        <x:f>IF(H331="No","Exclude",IF(S331&gt;=70,"Priority 1",IF(S331&gt;=55,"Priority 2",IF(S331&gt;=40,"Priority 3","Low priority"))))</x:f>
        <x:v>Priority 2</x:v>
      </x:c>
    </x:row>
    <x:row r="332">
      <x:c r="A332" s="14" t="n">
        <x:v>331</x:v>
      </x:c>
      <x:c r="B332" s="18" t="str">
        <x:v>calculator used car loan</x:v>
      </x:c>
      <x:c r="C332" s="18" t="str">
        <x:v>navigational, commercial</x:v>
      </x:c>
      <x:c r="D332" s="26" t="n">
        <x:v>12100</x:v>
      </x:c>
      <x:c r="E332" s="28" t="n">
        <x:v>0.79</x:v>
      </x:c>
      <x:c r="F332" s="14" t="n">
        <x:v>40</x:v>
      </x:c>
      <x:c r="G332" s="14" t="n">
        <x:v>54</x:v>
      </x:c>
      <x:c r="H332" s="14" t="str">
        <x:v>Yes</x:v>
      </x:c>
      <x:c r="I332" s="18" t="str">
        <x:v>Clear calculation, conversion, estimation, or formula intent</x:v>
      </x:c>
      <x:c r="J332" s="18" t="str">
        <x:v>Loans &amp; Auto Finance</x:v>
      </x:c>
      <x:c r="K332" s="18" t="str">
        <x:v>Car loan/payment calculator</x:v>
      </x:c>
      <x:c r="L332" s="18" t="n">
        <x:v>6</x:v>
      </x:c>
      <x:c r="M332" s="18" t="str">
        <x:v>Medium</x:v>
      </x:c>
      <x:c r="N332" s="18" t="str">
        <x:v>High</x:v>
      </x:c>
      <x:c r="O332" s="18" t="str">
        <x:v>Leads / Ads / Affiliate</x:v>
      </x:c>
      <x:c r="P332" s="30" t="n">
        <x:f>MAX(0,100-G332)</x:f>
        <x:v>46</x:v>
      </x:c>
      <x:c r="Q332" s="30" t="n">
        <x:f>MIN(100,ROUND(LOG10(D332+1)*18,0))</x:f>
        <x:v>73</x:v>
      </x:c>
      <x:c r="R332" s="30" t="n">
        <x:f>MIN(100,ROUND(E332*12,0))</x:f>
        <x:v>9</x:v>
      </x:c>
      <x:c r="S332" s="30" t="n">
        <x:f>IF(H332="No",0,ROUND(P332*0.45+Q332*0.30+R332*0.15+IF(M332="Easy",10,IF(M332="Medium",6,2))+IF(N332="High",5,IF(N332="Medium",3,0)),1))</x:f>
        <x:v>55</x:v>
      </x:c>
      <x:c r="T332" s="14" t="str">
        <x:f>IF(H332="No","Exclude",IF(S332&gt;=70,"Priority 1",IF(S332&gt;=55,"Priority 2",IF(S332&gt;=40,"Priority 3","Low priority"))))</x:f>
        <x:v>Priority 2</x:v>
      </x:c>
    </x:row>
    <x:row r="333">
      <x:c r="A333" s="14" t="n">
        <x:v>332</x:v>
      </x:c>
      <x:c r="B333" s="18" t="str">
        <x:v>calculator hours</x:v>
      </x:c>
      <x:c r="C333" s="18" t="str">
        <x:v>informational</x:v>
      </x:c>
      <x:c r="D333" s="26" t="n">
        <x:v>8100</x:v>
      </x:c>
      <x:c r="E333" s="28" t="n">
        <x:v>6.25</x:v>
      </x:c>
      <x:c r="F333" s="14" t="n">
        <x:v>1</x:v>
      </x:c>
      <x:c r="G333" s="14" t="n">
        <x:v>54</x:v>
      </x:c>
      <x:c r="H333" s="14" t="str">
        <x:v>Yes</x:v>
      </x:c>
      <x:c r="I333" s="18" t="str">
        <x:v>Clear calculation, conversion, estimation, or formula intent</x:v>
      </x:c>
      <x:c r="J333" s="18" t="str">
        <x:v>Date &amp; Time</x:v>
      </x:c>
      <x:c r="K333" s="18" t="str">
        <x:v>Hours calculator</x:v>
      </x:c>
      <x:c r="L333" s="18" t="n">
        <x:v>1</x:v>
      </x:c>
      <x:c r="M333" s="18" t="str">
        <x:v>Easy</x:v>
      </x:c>
      <x:c r="N333" s="18" t="str">
        <x:v>Medium</x:v>
      </x:c>
      <x:c r="O333" s="18" t="str">
        <x:v>Ads</x:v>
      </x:c>
      <x:c r="P333" s="30" t="n">
        <x:f>MAX(0,100-G333)</x:f>
        <x:v>46</x:v>
      </x:c>
      <x:c r="Q333" s="30" t="n">
        <x:f>MIN(100,ROUND(LOG10(D333+1)*18,0))</x:f>
        <x:v>70</x:v>
      </x:c>
      <x:c r="R333" s="30" t="n">
        <x:f>MIN(100,ROUND(E333*12,0))</x:f>
        <x:v>75</x:v>
      </x:c>
      <x:c r="S333" s="30" t="n">
        <x:f>IF(H333="No",0,ROUND(P333*0.45+Q333*0.30+R333*0.15+IF(M333="Easy",10,IF(M333="Medium",6,2))+IF(N333="High",5,IF(N333="Medium",3,0)),1))</x:f>
        <x:v>66</x:v>
      </x:c>
      <x:c r="T333" s="14" t="str">
        <x:f>IF(H333="No","Exclude",IF(S333&gt;=70,"Priority 1",IF(S333&gt;=55,"Priority 2",IF(S333&gt;=40,"Priority 3","Low priority"))))</x:f>
        <x:v>Priority 2</x:v>
      </x:c>
    </x:row>
    <x:row r="334">
      <x:c r="A334" s="14" t="n">
        <x:v>333</x:v>
      </x:c>
      <x:c r="B334" s="18" t="str">
        <x:v>calculator soup time card</x:v>
      </x:c>
      <x:c r="C334" s="18" t="str">
        <x:v>informational, transactional</x:v>
      </x:c>
      <x:c r="D334" s="26" t="n">
        <x:v>5400</x:v>
      </x:c>
      <x:c r="E334" s="28" t="n">
        <x:v>5.86</x:v>
      </x:c>
      <x:c r="F334" s="14" t="n">
        <x:v>1</x:v>
      </x:c>
      <x:c r="G334" s="14" t="n">
        <x:v>54</x:v>
      </x:c>
      <x:c r="H334" s="14" t="str">
        <x:v>Yes</x:v>
      </x:c>
      <x:c r="I334" s="18" t="str">
        <x:v>Clear calculation, conversion, estimation, or formula intent</x:v>
      </x:c>
      <x:c r="J334" s="18" t="str">
        <x:v>Salary, Payroll &amp; Tax</x:v>
      </x:c>
      <x:c r="K334" s="18" t="str">
        <x:v>Time card/work hours calculator</x:v>
      </x:c>
      <x:c r="L334" s="18" t="n">
        <x:v>4</x:v>
      </x:c>
      <x:c r="M334" s="18" t="str">
        <x:v>Easy</x:v>
      </x:c>
      <x:c r="N334" s="18" t="str">
        <x:v>High</x:v>
      </x:c>
      <x:c r="O334" s="18" t="str">
        <x:v>Ads / SaaS leads</x:v>
      </x:c>
      <x:c r="P334" s="30" t="n">
        <x:f>MAX(0,100-G334)</x:f>
        <x:v>46</x:v>
      </x:c>
      <x:c r="Q334" s="30" t="n">
        <x:f>MIN(100,ROUND(LOG10(D334+1)*18,0))</x:f>
        <x:v>67</x:v>
      </x:c>
      <x:c r="R334" s="30" t="n">
        <x:f>MIN(100,ROUND(E334*12,0))</x:f>
        <x:v>70</x:v>
      </x:c>
      <x:c r="S334" s="30" t="n">
        <x:f>IF(H334="No",0,ROUND(P334*0.45+Q334*0.30+R334*0.15+IF(M334="Easy",10,IF(M334="Medium",6,2))+IF(N334="High",5,IF(N334="Medium",3,0)),1))</x:f>
        <x:v>66.3</x:v>
      </x:c>
      <x:c r="T334" s="14" t="str">
        <x:f>IF(H334="No","Exclude",IF(S334&gt;=70,"Priority 1",IF(S334&gt;=55,"Priority 2",IF(S334&gt;=40,"Priority 3","Low priority"))))</x:f>
        <x:v>Priority 2</x:v>
      </x:c>
    </x:row>
    <x:row r="335">
      <x:c r="A335" s="14" t="n">
        <x:v>334</x:v>
      </x:c>
      <x:c r="B335" s="18" t="str">
        <x:v>calculator lb to kg</x:v>
      </x:c>
      <x:c r="C335" s="18" t="str">
        <x:v>informational</x:v>
      </x:c>
      <x:c r="D335" s="26" t="n">
        <x:v>4400</x:v>
      </x:c>
      <x:c r="E335" s="28" t="n">
        <x:v>0.44</x:v>
      </x:c>
      <x:c r="F335" s="14" t="n">
        <x:v>1</x:v>
      </x:c>
      <x:c r="G335" s="14" t="n">
        <x:v>54</x:v>
      </x:c>
      <x:c r="H335" s="14" t="str">
        <x:v>Yes</x:v>
      </x:c>
      <x:c r="I335" s="18" t="str">
        <x:v>Clear calculation, conversion, estimation, or formula intent</x:v>
      </x:c>
      <x:c r="J335" s="18" t="str">
        <x:v>Conversions &amp; Units</x:v>
      </x:c>
      <x:c r="K335" s="18" t="str">
        <x:v>Weight unit converter</x:v>
      </x:c>
      <x:c r="L335" s="18" t="n">
        <x:v>2</x:v>
      </x:c>
      <x:c r="M335" s="18" t="str">
        <x:v>Easy</x:v>
      </x:c>
      <x:c r="N335" s="18" t="str">
        <x:v>Medium</x:v>
      </x:c>
      <x:c r="O335" s="18" t="str">
        <x:v>Ads</x:v>
      </x:c>
      <x:c r="P335" s="30" t="n">
        <x:f>MAX(0,100-G335)</x:f>
        <x:v>46</x:v>
      </x:c>
      <x:c r="Q335" s="30" t="n">
        <x:f>MIN(100,ROUND(LOG10(D335+1)*18,0))</x:f>
        <x:v>66</x:v>
      </x:c>
      <x:c r="R335" s="30" t="n">
        <x:f>MIN(100,ROUND(E335*12,0))</x:f>
        <x:v>5</x:v>
      </x:c>
      <x:c r="S335" s="30" t="n">
        <x:f>IF(H335="No",0,ROUND(P335*0.45+Q335*0.30+R335*0.15+IF(M335="Easy",10,IF(M335="Medium",6,2))+IF(N335="High",5,IF(N335="Medium",3,0)),1))</x:f>
        <x:v>54.3</x:v>
      </x:c>
      <x:c r="T335" s="14" t="str">
        <x:f>IF(H335="No","Exclude",IF(S335&gt;=70,"Priority 1",IF(S335&gt;=55,"Priority 2",IF(S335&gt;=40,"Priority 3","Low priority"))))</x:f>
        <x:v>Priority 3</x:v>
      </x:c>
    </x:row>
    <x:row r="336">
      <x:c r="A336" s="14" t="n">
        <x:v>335</x:v>
      </x:c>
      <x:c r="B336" s="18" t="str">
        <x:v>calculator salary</x:v>
      </x:c>
      <x:c r="C336" s="18" t="str">
        <x:v>informational</x:v>
      </x:c>
      <x:c r="D336" s="26" t="n">
        <x:v>246000</x:v>
      </x:c>
      <x:c r="E336" s="28" t="n">
        <x:v>3.11</x:v>
      </x:c>
      <x:c r="F336" s="14" t="n">
        <x:v>1</x:v>
      </x:c>
      <x:c r="G336" s="14" t="n">
        <x:v>55</x:v>
      </x:c>
      <x:c r="H336" s="14" t="str">
        <x:v>Yes</x:v>
      </x:c>
      <x:c r="I336" s="18" t="str">
        <x:v>Clear calculation, conversion, estimation, or formula intent</x:v>
      </x:c>
      <x:c r="J336" s="18" t="str">
        <x:v>Salary, Payroll &amp; Tax</x:v>
      </x:c>
      <x:c r="K336" s="18" t="str">
        <x:v>Salary calculator</x:v>
      </x:c>
      <x:c r="L336" s="18" t="n">
        <x:v>1</x:v>
      </x:c>
      <x:c r="M336" s="18" t="str">
        <x:v>Medium</x:v>
      </x:c>
      <x:c r="N336" s="18" t="str">
        <x:v>High</x:v>
      </x:c>
      <x:c r="O336" s="18" t="str">
        <x:v>Ads / SaaS leads</x:v>
      </x:c>
      <x:c r="P336" s="30" t="n">
        <x:f>MAX(0,100-G336)</x:f>
        <x:v>45</x:v>
      </x:c>
      <x:c r="Q336" s="30" t="n">
        <x:f>MIN(100,ROUND(LOG10(D336+1)*18,0))</x:f>
        <x:v>97</x:v>
      </x:c>
      <x:c r="R336" s="30" t="n">
        <x:f>MIN(100,ROUND(E336*12,0))</x:f>
        <x:v>37</x:v>
      </x:c>
      <x:c r="S336" s="30" t="n">
        <x:f>IF(H336="No",0,ROUND(P336*0.45+Q336*0.30+R336*0.15+IF(M336="Easy",10,IF(M336="Medium",6,2))+IF(N336="High",5,IF(N336="Medium",3,0)),1))</x:f>
        <x:v>65.9</x:v>
      </x:c>
      <x:c r="T336" s="14" t="str">
        <x:f>IF(H336="No","Exclude",IF(S336&gt;=70,"Priority 1",IF(S336&gt;=55,"Priority 2",IF(S336&gt;=40,"Priority 3","Low priority"))))</x:f>
        <x:v>Priority 2</x:v>
      </x:c>
    </x:row>
    <x:row r="337">
      <x:c r="A337" s="14" t="n">
        <x:v>336</x:v>
      </x:c>
      <x:c r="B337" s="18" t="str">
        <x:v>calculator 401k withdrawal</x:v>
      </x:c>
      <x:c r="C337" s="18" t="str">
        <x:v>informational, navigational</x:v>
      </x:c>
      <x:c r="D337" s="26" t="n">
        <x:v>12100</x:v>
      </x:c>
      <x:c r="E337" s="28" t="n">
        <x:v>2.04</x:v>
      </x:c>
      <x:c r="F337" s="14" t="n">
        <x:v>7</x:v>
      </x:c>
      <x:c r="G337" s="14" t="n">
        <x:v>55</x:v>
      </x:c>
      <x:c r="H337" s="14" t="str">
        <x:v>Yes</x:v>
      </x:c>
      <x:c r="I337" s="18" t="str">
        <x:v>Clear calculation, conversion, estimation, or formula intent</x:v>
      </x:c>
      <x:c r="J337" s="18" t="str">
        <x:v>Personal Finance &amp; Investing</x:v>
      </x:c>
      <x:c r="K337" s="18" t="str">
        <x:v>401K Withdrawal calculator</x:v>
      </x:c>
      <x:c r="L337" s="18" t="n">
        <x:v>1</x:v>
      </x:c>
      <x:c r="M337" s="18" t="str">
        <x:v>Complex</x:v>
      </x:c>
      <x:c r="N337" s="18" t="str">
        <x:v>High</x:v>
      </x:c>
      <x:c r="O337" s="18" t="str">
        <x:v>Ads / Leads / Affiliate</x:v>
      </x:c>
      <x:c r="P337" s="30" t="n">
        <x:f>MAX(0,100-G337)</x:f>
        <x:v>45</x:v>
      </x:c>
      <x:c r="Q337" s="30" t="n">
        <x:f>MIN(100,ROUND(LOG10(D337+1)*18,0))</x:f>
        <x:v>73</x:v>
      </x:c>
      <x:c r="R337" s="30" t="n">
        <x:f>MIN(100,ROUND(E337*12,0))</x:f>
        <x:v>24</x:v>
      </x:c>
      <x:c r="S337" s="30" t="n">
        <x:f>IF(H337="No",0,ROUND(P337*0.45+Q337*0.30+R337*0.15+IF(M337="Easy",10,IF(M337="Medium",6,2))+IF(N337="High",5,IF(N337="Medium",3,0)),1))</x:f>
        <x:v>52.8</x:v>
      </x:c>
      <x:c r="T337" s="14" t="str">
        <x:f>IF(H337="No","Exclude",IF(S337&gt;=70,"Priority 1",IF(S337&gt;=55,"Priority 2",IF(S337&gt;=40,"Priority 3","Low priority"))))</x:f>
        <x:v>Priority 3</x:v>
      </x:c>
    </x:row>
    <x:row r="338">
      <x:c r="A338" s="14" t="n">
        <x:v>337</x:v>
      </x:c>
      <x:c r="B338" s="18" t="str">
        <x:v>calculator 50</x:v>
      </x:c>
      <x:c r="C338" s="18" t="str">
        <x:v>transactional, informational</x:v>
      </x:c>
      <x:c r="D338" s="26" t="n">
        <x:v>590</x:v>
      </x:c>
      <x:c r="E338" s="28" t="n">
        <x:v>0</x:v>
      </x:c>
      <x:c r="F338" s="14" t="n">
        <x:v>1</x:v>
      </x:c>
      <x:c r="G338" s="14" t="n">
        <x:v>55</x:v>
      </x:c>
      <x:c r="H338" s="14" t="str">
        <x:v>No</x:v>
      </x:c>
      <x:c r="I338" s="18" t="str">
        <x:v>Model/number query, not a distinct web calculator</x:v>
      </x:c>
      <x:c r="J338" s="18" t="str">
        <x:v>Excluded / Non-calculator</x:v>
      </x:c>
      <x:c r="K338" s="18" t="str"/>
      <x:c r="L338" s="18" t="n">
        <x:v>0</x:v>
      </x:c>
      <x:c r="M338" s="18" t="str"/>
      <x:c r="N338" s="18" t="str"/>
      <x:c r="O338" s="18" t="str"/>
      <x:c r="P338" s="30" t="n">
        <x:f>MAX(0,100-G338)</x:f>
        <x:v>45</x:v>
      </x:c>
      <x:c r="Q338" s="30" t="n">
        <x:f>MIN(100,ROUND(LOG10(D338+1)*18,0))</x:f>
        <x:v>50</x:v>
      </x:c>
      <x:c r="R338" s="30" t="n">
        <x:f>MIN(100,ROUND(E338*12,0))</x:f>
        <x:v>0</x:v>
      </x:c>
      <x:c r="S338" s="30" t="n">
        <x:f>IF(H338="No",0,ROUND(P338*0.45+Q338*0.30+R338*0.15+IF(M338="Easy",10,IF(M338="Medium",6,2))+IF(N338="High",5,IF(N338="Medium",3,0)),1))</x:f>
        <x:v>0</x:v>
      </x:c>
      <x:c r="T338" s="14" t="str">
        <x:f>IF(H338="No","Exclude",IF(S338&gt;=70,"Priority 1",IF(S338&gt;=55,"Priority 2",IF(S338&gt;=40,"Priority 3","Low priority"))))</x:f>
        <x:v>Exclude</x:v>
      </x:c>
    </x:row>
    <x:row r="339">
      <x:c r="A339" s="14" t="n">
        <x:v>338</x:v>
      </x:c>
      <x:c r="B339" s="18" t="str">
        <x:v>calculator unit converter</x:v>
      </x:c>
      <x:c r="C339" s="18" t="str">
        <x:v>transactional</x:v>
      </x:c>
      <x:c r="D339" s="26" t="n">
        <x:v>140</x:v>
      </x:c>
      <x:c r="E339" s="28" t="n">
        <x:v>0</x:v>
      </x:c>
      <x:c r="F339" s="14" t="n">
        <x:v>1</x:v>
      </x:c>
      <x:c r="G339" s="14" t="n">
        <x:v>55</x:v>
      </x:c>
      <x:c r="H339" s="14" t="str">
        <x:v>Yes</x:v>
      </x:c>
      <x:c r="I339" s="18" t="str">
        <x:v>Clear calculation, conversion, estimation, or formula intent</x:v>
      </x:c>
      <x:c r="J339" s="18" t="str">
        <x:v>Conversions &amp; Units</x:v>
      </x:c>
      <x:c r="K339" s="18" t="str">
        <x:v>Unit Converter</x:v>
      </x:c>
      <x:c r="L339" s="18" t="n">
        <x:v>1</x:v>
      </x:c>
      <x:c r="M339" s="18" t="str">
        <x:v>Easy</x:v>
      </x:c>
      <x:c r="N339" s="18" t="str">
        <x:v>Medium</x:v>
      </x:c>
      <x:c r="O339" s="18" t="str">
        <x:v>Ads</x:v>
      </x:c>
      <x:c r="P339" s="30" t="n">
        <x:f>MAX(0,100-G339)</x:f>
        <x:v>45</x:v>
      </x:c>
      <x:c r="Q339" s="30" t="n">
        <x:f>MIN(100,ROUND(LOG10(D339+1)*18,0))</x:f>
        <x:v>39</x:v>
      </x:c>
      <x:c r="R339" s="30" t="n">
        <x:f>MIN(100,ROUND(E339*12,0))</x:f>
        <x:v>0</x:v>
      </x:c>
      <x:c r="S339" s="30" t="n">
        <x:f>IF(H339="No",0,ROUND(P339*0.45+Q339*0.30+R339*0.15+IF(M339="Easy",10,IF(M339="Medium",6,2))+IF(N339="High",5,IF(N339="Medium",3,0)),1))</x:f>
        <x:v>45</x:v>
      </x:c>
      <x:c r="T339" s="14" t="str">
        <x:f>IF(H339="No","Exclude",IF(S339&gt;=70,"Priority 1",IF(S339&gt;=55,"Priority 2",IF(S339&gt;=40,"Priority 3","Low priority"))))</x:f>
        <x:v>Priority 3</x:v>
      </x:c>
    </x:row>
    <x:row r="340">
      <x:c r="A340" s="14" t="n">
        <x:v>339</x:v>
      </x:c>
      <x:c r="B340" s="18" t="str">
        <x:v>calculator soup work hours</x:v>
      </x:c>
      <x:c r="C340" s="18" t="str">
        <x:v>informational, navigational</x:v>
      </x:c>
      <x:c r="D340" s="26" t="n">
        <x:v>2900</x:v>
      </x:c>
      <x:c r="E340" s="28" t="n">
        <x:v>8.71</x:v>
      </x:c>
      <x:c r="F340" s="14" t="n">
        <x:v>1</x:v>
      </x:c>
      <x:c r="G340" s="14" t="n">
        <x:v>56</x:v>
      </x:c>
      <x:c r="H340" s="14" t="str">
        <x:v>Yes</x:v>
      </x:c>
      <x:c r="I340" s="18" t="str">
        <x:v>Clear calculation, conversion, estimation, or formula intent</x:v>
      </x:c>
      <x:c r="J340" s="18" t="str">
        <x:v>Salary, Payroll &amp; Tax</x:v>
      </x:c>
      <x:c r="K340" s="18" t="str">
        <x:v>Time card/work hours calculator</x:v>
      </x:c>
      <x:c r="L340" s="18" t="n">
        <x:v>4</x:v>
      </x:c>
      <x:c r="M340" s="18" t="str">
        <x:v>Easy</x:v>
      </x:c>
      <x:c r="N340" s="18" t="str">
        <x:v>High</x:v>
      </x:c>
      <x:c r="O340" s="18" t="str">
        <x:v>Ads / SaaS leads</x:v>
      </x:c>
      <x:c r="P340" s="30" t="n">
        <x:f>MAX(0,100-G340)</x:f>
        <x:v>44</x:v>
      </x:c>
      <x:c r="Q340" s="30" t="n">
        <x:f>MIN(100,ROUND(LOG10(D340+1)*18,0))</x:f>
        <x:v>62</x:v>
      </x:c>
      <x:c r="R340" s="30" t="n">
        <x:f>MIN(100,ROUND(E340*12,0))</x:f>
        <x:v>100</x:v>
      </x:c>
      <x:c r="S340" s="30" t="n">
        <x:f>IF(H340="No",0,ROUND(P340*0.45+Q340*0.30+R340*0.15+IF(M340="Easy",10,IF(M340="Medium",6,2))+IF(N340="High",5,IF(N340="Medium",3,0)),1))</x:f>
        <x:v>68.4</x:v>
      </x:c>
      <x:c r="T340" s="14" t="str">
        <x:f>IF(H340="No","Exclude",IF(S340&gt;=70,"Priority 1",IF(S340&gt;=55,"Priority 2",IF(S340&gt;=40,"Priority 3","Low priority"))))</x:f>
        <x:v>Priority 2</x:v>
      </x:c>
    </x:row>
    <x:row r="341">
      <x:c r="A341" s="14" t="n">
        <x:v>340</x:v>
      </x:c>
      <x:c r="B341" s="18" t="str">
        <x:v>calculator hourly to salary</x:v>
      </x:c>
      <x:c r="C341" s="18" t="str">
        <x:v>informational</x:v>
      </x:c>
      <x:c r="D341" s="26" t="n">
        <x:v>1600</x:v>
      </x:c>
      <x:c r="E341" s="28" t="n">
        <x:v>1.53</x:v>
      </x:c>
      <x:c r="F341" s="14" t="n">
        <x:v>6</x:v>
      </x:c>
      <x:c r="G341" s="14" t="n">
        <x:v>56</x:v>
      </x:c>
      <x:c r="H341" s="14" t="str">
        <x:v>Yes</x:v>
      </x:c>
      <x:c r="I341" s="18" t="str">
        <x:v>Clear calculation, conversion, estimation, or formula intent</x:v>
      </x:c>
      <x:c r="J341" s="18" t="str">
        <x:v>Salary, Payroll &amp; Tax</x:v>
      </x:c>
      <x:c r="K341" s="18" t="str">
        <x:v>Hourly To Salary calculator</x:v>
      </x:c>
      <x:c r="L341" s="18" t="n">
        <x:v>1</x:v>
      </x:c>
      <x:c r="M341" s="18" t="str">
        <x:v>Medium</x:v>
      </x:c>
      <x:c r="N341" s="18" t="str">
        <x:v>High</x:v>
      </x:c>
      <x:c r="O341" s="18" t="str">
        <x:v>Ads / SaaS leads</x:v>
      </x:c>
      <x:c r="P341" s="30" t="n">
        <x:f>MAX(0,100-G341)</x:f>
        <x:v>44</x:v>
      </x:c>
      <x:c r="Q341" s="30" t="n">
        <x:f>MIN(100,ROUND(LOG10(D341+1)*18,0))</x:f>
        <x:v>58</x:v>
      </x:c>
      <x:c r="R341" s="30" t="n">
        <x:f>MIN(100,ROUND(E341*12,0))</x:f>
        <x:v>18</x:v>
      </x:c>
      <x:c r="S341" s="30" t="n">
        <x:f>IF(H341="No",0,ROUND(P341*0.45+Q341*0.30+R341*0.15+IF(M341="Easy",10,IF(M341="Medium",6,2))+IF(N341="High",5,IF(N341="Medium",3,0)),1))</x:f>
        <x:v>50.9</x:v>
      </x:c>
      <x:c r="T341" s="14" t="str">
        <x:f>IF(H341="No","Exclude",IF(S341&gt;=70,"Priority 1",IF(S341&gt;=55,"Priority 2",IF(S341&gt;=40,"Priority 3","Low priority"))))</x:f>
        <x:v>Priority 3</x:v>
      </x:c>
    </x:row>
    <x:row r="342">
      <x:c r="A342" s="14" t="n">
        <x:v>341</x:v>
      </x:c>
      <x:c r="B342" s="18" t="str">
        <x:v>calculator soup fractions</x:v>
      </x:c>
      <x:c r="C342" s="18" t="str">
        <x:v>informational</x:v>
      </x:c>
      <x:c r="D342" s="26" t="n">
        <x:v>1300</x:v>
      </x:c>
      <x:c r="E342" s="28" t="n">
        <x:v>0</x:v>
      </x:c>
      <x:c r="F342" s="14" t="n">
        <x:v>1</x:v>
      </x:c>
      <x:c r="G342" s="14" t="n">
        <x:v>56</x:v>
      </x:c>
      <x:c r="H342" s="14" t="str">
        <x:v>No</x:v>
      </x:c>
      <x:c r="I342" s="18" t="str">
        <x:v>App/product/brand/navigation/media intent rather than a calculation</x:v>
      </x:c>
      <x:c r="J342" s="18" t="str">
        <x:v>Excluded / Non-calculator</x:v>
      </x:c>
      <x:c r="K342" s="18" t="str"/>
      <x:c r="L342" s="18" t="n">
        <x:v>0</x:v>
      </x:c>
      <x:c r="M342" s="18" t="str"/>
      <x:c r="N342" s="18" t="str"/>
      <x:c r="O342" s="18" t="str"/>
      <x:c r="P342" s="30" t="n">
        <x:f>MAX(0,100-G342)</x:f>
        <x:v>44</x:v>
      </x:c>
      <x:c r="Q342" s="30" t="n">
        <x:f>MIN(100,ROUND(LOG10(D342+1)*18,0))</x:f>
        <x:v>56</x:v>
      </x:c>
      <x:c r="R342" s="30" t="n">
        <x:f>MIN(100,ROUND(E342*12,0))</x:f>
        <x:v>0</x:v>
      </x:c>
      <x:c r="S342" s="30" t="n">
        <x:f>IF(H342="No",0,ROUND(P342*0.45+Q342*0.30+R342*0.15+IF(M342="Easy",10,IF(M342="Medium",6,2))+IF(N342="High",5,IF(N342="Medium",3,0)),1))</x:f>
        <x:v>0</x:v>
      </x:c>
      <x:c r="T342" s="14" t="str">
        <x:f>IF(H342="No","Exclude",IF(S342&gt;=70,"Priority 1",IF(S342&gt;=55,"Priority 2",IF(S342&gt;=40,"Priority 3","Low priority"))))</x:f>
        <x:v>Exclude</x:v>
      </x:c>
    </x:row>
    <x:row r="343">
      <x:c r="A343" s="14" t="n">
        <x:v>342</x:v>
      </x:c>
      <x:c r="B343" s="18" t="str">
        <x:v>calculator 20 percent</x:v>
      </x:c>
      <x:c r="C343" s="18" t="str">
        <x:v>informational</x:v>
      </x:c>
      <x:c r="D343" s="26" t="n">
        <x:v>210</x:v>
      </x:c>
      <x:c r="E343" s="28" t="n">
        <x:v>0</x:v>
      </x:c>
      <x:c r="F343" s="14" t="n">
        <x:v>1</x:v>
      </x:c>
      <x:c r="G343" s="14" t="n">
        <x:v>56</x:v>
      </x:c>
      <x:c r="H343" s="14" t="str">
        <x:v>Yes</x:v>
      </x:c>
      <x:c r="I343" s="18" t="str">
        <x:v>Clear calculation, conversion, estimation, or formula intent</x:v>
      </x:c>
      <x:c r="J343" s="18" t="str">
        <x:v>Math &amp; Education</x:v>
      </x:c>
      <x:c r="K343" s="18" t="str">
        <x:v>20 Percent calculator</x:v>
      </x:c>
      <x:c r="L343" s="18" t="n">
        <x:v>1</x:v>
      </x:c>
      <x:c r="M343" s="18" t="str">
        <x:v>Easy</x:v>
      </x:c>
      <x:c r="N343" s="18" t="str">
        <x:v>Medium</x:v>
      </x:c>
      <x:c r="O343" s="18" t="str">
        <x:v>Ads / EdTech</x:v>
      </x:c>
      <x:c r="P343" s="30" t="n">
        <x:f>MAX(0,100-G343)</x:f>
        <x:v>44</x:v>
      </x:c>
      <x:c r="Q343" s="30" t="n">
        <x:f>MIN(100,ROUND(LOG10(D343+1)*18,0))</x:f>
        <x:v>42</x:v>
      </x:c>
      <x:c r="R343" s="30" t="n">
        <x:f>MIN(100,ROUND(E343*12,0))</x:f>
        <x:v>0</x:v>
      </x:c>
      <x:c r="S343" s="30" t="n">
        <x:f>IF(H343="No",0,ROUND(P343*0.45+Q343*0.30+R343*0.15+IF(M343="Easy",10,IF(M343="Medium",6,2))+IF(N343="High",5,IF(N343="Medium",3,0)),1))</x:f>
        <x:v>45.4</x:v>
      </x:c>
      <x:c r="T343" s="14" t="str">
        <x:f>IF(H343="No","Exclude",IF(S343&gt;=70,"Priority 1",IF(S343&gt;=55,"Priority 2",IF(S343&gt;=40,"Priority 3","Low priority"))))</x:f>
        <x:v>Priority 3</x:v>
      </x:c>
    </x:row>
    <x:row r="344">
      <x:c r="A344" s="14" t="n">
        <x:v>343</x:v>
      </x:c>
      <x:c r="B344" s="18" t="str">
        <x:v>calculator volume</x:v>
      </x:c>
      <x:c r="C344" s="18" t="str">
        <x:v>informational</x:v>
      </x:c>
      <x:c r="D344" s="26" t="n">
        <x:v>110</x:v>
      </x:c>
      <x:c r="E344" s="28" t="n">
        <x:v>0</x:v>
      </x:c>
      <x:c r="F344" s="14" t="n">
        <x:v>1</x:v>
      </x:c>
      <x:c r="G344" s="14" t="n">
        <x:v>56</x:v>
      </x:c>
      <x:c r="H344" s="14" t="str">
        <x:v>Yes</x:v>
      </x:c>
      <x:c r="I344" s="18" t="str">
        <x:v>Clear calculation, conversion, estimation, or formula intent</x:v>
      </x:c>
      <x:c r="J344" s="18" t="str">
        <x:v>Math &amp; Education</x:v>
      </x:c>
      <x:c r="K344" s="18" t="str">
        <x:v>Volume calculator</x:v>
      </x:c>
      <x:c r="L344" s="18" t="n">
        <x:v>1</x:v>
      </x:c>
      <x:c r="M344" s="18" t="str">
        <x:v>Easy</x:v>
      </x:c>
      <x:c r="N344" s="18" t="str">
        <x:v>Medium</x:v>
      </x:c>
      <x:c r="O344" s="18" t="str">
        <x:v>Ads / EdTech</x:v>
      </x:c>
      <x:c r="P344" s="30" t="n">
        <x:f>MAX(0,100-G344)</x:f>
        <x:v>44</x:v>
      </x:c>
      <x:c r="Q344" s="30" t="n">
        <x:f>MIN(100,ROUND(LOG10(D344+1)*18,0))</x:f>
        <x:v>37</x:v>
      </x:c>
      <x:c r="R344" s="30" t="n">
        <x:f>MIN(100,ROUND(E344*12,0))</x:f>
        <x:v>0</x:v>
      </x:c>
      <x:c r="S344" s="30" t="n">
        <x:f>IF(H344="No",0,ROUND(P344*0.45+Q344*0.30+R344*0.15+IF(M344="Easy",10,IF(M344="Medium",6,2))+IF(N344="High",5,IF(N344="Medium",3,0)),1))</x:f>
        <x:v>43.9</x:v>
      </x:c>
      <x:c r="T344" s="14" t="str">
        <x:f>IF(H344="No","Exclude",IF(S344&gt;=70,"Priority 1",IF(S344&gt;=55,"Priority 2",IF(S344&gt;=40,"Priority 3","Low priority"))))</x:f>
        <x:v>Priority 3</x:v>
      </x:c>
    </x:row>
    <x:row r="345">
      <x:c r="A345" s="14" t="n">
        <x:v>344</x:v>
      </x:c>
      <x:c r="B345" s="18" t="str">
        <x:v>calculator 50 30 20</x:v>
      </x:c>
      <x:c r="C345" s="18" t="str">
        <x:v>commercial, transactional, informational</x:v>
      </x:c>
      <x:c r="D345" s="26" t="n">
        <x:v>20</x:v>
      </x:c>
      <x:c r="E345" s="28" t="n">
        <x:v>0</x:v>
      </x:c>
      <x:c r="F345" s="14" t="n">
        <x:v>5</x:v>
      </x:c>
      <x:c r="G345" s="14" t="n">
        <x:v>56</x:v>
      </x:c>
      <x:c r="H345" s="14" t="str">
        <x:v>Yes</x:v>
      </x:c>
      <x:c r="I345" s="18" t="str">
        <x:v>Clear calculation, conversion, estimation, or formula intent</x:v>
      </x:c>
      <x:c r="J345" s="18" t="str">
        <x:v>General / Other</x:v>
      </x:c>
      <x:c r="K345" s="18" t="str">
        <x:v>50 30 20 calculator</x:v>
      </x:c>
      <x:c r="L345" s="18" t="n">
        <x:v>1</x:v>
      </x:c>
      <x:c r="M345" s="18" t="str">
        <x:v>Easy</x:v>
      </x:c>
      <x:c r="N345" s="18" t="str">
        <x:v>Medium</x:v>
      </x:c>
      <x:c r="O345" s="18" t="str">
        <x:v>Ads</x:v>
      </x:c>
      <x:c r="P345" s="30" t="n">
        <x:f>MAX(0,100-G345)</x:f>
        <x:v>44</x:v>
      </x:c>
      <x:c r="Q345" s="30" t="n">
        <x:f>MIN(100,ROUND(LOG10(D345+1)*18,0))</x:f>
        <x:v>24</x:v>
      </x:c>
      <x:c r="R345" s="30" t="n">
        <x:f>MIN(100,ROUND(E345*12,0))</x:f>
        <x:v>0</x:v>
      </x:c>
      <x:c r="S345" s="30" t="n">
        <x:f>IF(H345="No",0,ROUND(P345*0.45+Q345*0.30+R345*0.15+IF(M345="Easy",10,IF(M345="Medium",6,2))+IF(N345="High",5,IF(N345="Medium",3,0)),1))</x:f>
        <x:v>40</x:v>
      </x:c>
      <x:c r="T345" s="14" t="str">
        <x:f>IF(H345="No","Exclude",IF(S345&gt;=70,"Priority 1",IF(S345&gt;=55,"Priority 2",IF(S345&gt;=40,"Priority 3","Low priority"))))</x:f>
        <x:v>Priority 3</x:v>
      </x:c>
    </x:row>
    <x:row r="346">
      <x:c r="A346" s="14" t="n">
        <x:v>345</x:v>
      </x:c>
      <x:c r="B346" s="18" t="str">
        <x:v>calculator google</x:v>
      </x:c>
      <x:c r="C346" s="18" t="str">
        <x:v>navigational</x:v>
      </x:c>
      <x:c r="D346" s="26" t="n">
        <x:v>165000</x:v>
      </x:c>
      <x:c r="E346" s="28" t="n">
        <x:v>1</x:v>
      </x:c>
      <x:c r="F346" s="14" t="n">
        <x:v>1</x:v>
      </x:c>
      <x:c r="G346" s="14" t="n">
        <x:v>57</x:v>
      </x:c>
      <x:c r="H346" s="14" t="str">
        <x:v>No</x:v>
      </x:c>
      <x:c r="I346" s="18" t="str">
        <x:v>App/product/brand/navigation/media intent rather than a calculation</x:v>
      </x:c>
      <x:c r="J346" s="18" t="str">
        <x:v>Excluded / Non-calculator</x:v>
      </x:c>
      <x:c r="K346" s="18" t="str"/>
      <x:c r="L346" s="18" t="n">
        <x:v>0</x:v>
      </x:c>
      <x:c r="M346" s="18" t="str"/>
      <x:c r="N346" s="18" t="str"/>
      <x:c r="O346" s="18" t="str"/>
      <x:c r="P346" s="30" t="n">
        <x:f>MAX(0,100-G346)</x:f>
        <x:v>43</x:v>
      </x:c>
      <x:c r="Q346" s="30" t="n">
        <x:f>MIN(100,ROUND(LOG10(D346+1)*18,0))</x:f>
        <x:v>94</x:v>
      </x:c>
      <x:c r="R346" s="30" t="n">
        <x:f>MIN(100,ROUND(E346*12,0))</x:f>
        <x:v>12</x:v>
      </x:c>
      <x:c r="S346" s="30" t="n">
        <x:f>IF(H346="No",0,ROUND(P346*0.45+Q346*0.30+R346*0.15+IF(M346="Easy",10,IF(M346="Medium",6,2))+IF(N346="High",5,IF(N346="Medium",3,0)),1))</x:f>
        <x:v>0</x:v>
      </x:c>
      <x:c r="T346" s="14" t="str">
        <x:f>IF(H346="No","Exclude",IF(S346&gt;=70,"Priority 1",IF(S346&gt;=55,"Priority 2",IF(S346&gt;=40,"Priority 3","Low priority"))))</x:f>
        <x:v>Exclude</x:v>
      </x:c>
    </x:row>
    <x:row r="347">
      <x:c r="A347" s="14" t="n">
        <x:v>346</x:v>
      </x:c>
      <x:c r="B347" s="18" t="str">
        <x:v>calculator 84</x:v>
      </x:c>
      <x:c r="C347" s="18" t="str">
        <x:v>transactional, informational</x:v>
      </x:c>
      <x:c r="D347" s="26" t="n">
        <x:v>6600</x:v>
      </x:c>
      <x:c r="E347" s="28" t="n">
        <x:v>2.01</x:v>
      </x:c>
      <x:c r="F347" s="14" t="n">
        <x:v>1</x:v>
      </x:c>
      <x:c r="G347" s="14" t="n">
        <x:v>57</x:v>
      </x:c>
      <x:c r="H347" s="14" t="str">
        <x:v>No</x:v>
      </x:c>
      <x:c r="I347" s="18" t="str">
        <x:v>Model/number query, not a distinct web calculator</x:v>
      </x:c>
      <x:c r="J347" s="18" t="str">
        <x:v>Excluded / Non-calculator</x:v>
      </x:c>
      <x:c r="K347" s="18" t="str"/>
      <x:c r="L347" s="18" t="n">
        <x:v>0</x:v>
      </x:c>
      <x:c r="M347" s="18" t="str"/>
      <x:c r="N347" s="18" t="str"/>
      <x:c r="O347" s="18" t="str"/>
      <x:c r="P347" s="30" t="n">
        <x:f>MAX(0,100-G347)</x:f>
        <x:v>43</x:v>
      </x:c>
      <x:c r="Q347" s="30" t="n">
        <x:f>MIN(100,ROUND(LOG10(D347+1)*18,0))</x:f>
        <x:v>69</x:v>
      </x:c>
      <x:c r="R347" s="30" t="n">
        <x:f>MIN(100,ROUND(E347*12,0))</x:f>
        <x:v>24</x:v>
      </x:c>
      <x:c r="S347" s="30" t="n">
        <x:f>IF(H347="No",0,ROUND(P347*0.45+Q347*0.30+R347*0.15+IF(M347="Easy",10,IF(M347="Medium",6,2))+IF(N347="High",5,IF(N347="Medium",3,0)),1))</x:f>
        <x:v>0</x:v>
      </x:c>
      <x:c r="T347" s="14" t="str">
        <x:f>IF(H347="No","Exclude",IF(S347&gt;=70,"Priority 1",IF(S347&gt;=55,"Priority 2",IF(S347&gt;=40,"Priority 3","Low priority"))))</x:f>
        <x:v>Exclude</x:v>
      </x:c>
    </x:row>
    <x:row r="348">
      <x:c r="A348" s="14" t="n">
        <x:v>347</x:v>
      </x:c>
      <x:c r="B348" s="18" t="str">
        <x:v>calculator words</x:v>
      </x:c>
      <x:c r="C348" s="18" t="str">
        <x:v>null</x:v>
      </x:c>
      <x:c r="D348" s="26" t="n">
        <x:v>4400</x:v>
      </x:c>
      <x:c r="E348" s="28" t="n">
        <x:v>0.3</x:v>
      </x:c>
      <x:c r="F348" s="14" t="n">
        <x:v>8</x:v>
      </x:c>
      <x:c r="G348" s="14" t="n">
        <x:v>57</x:v>
      </x:c>
      <x:c r="H348" s="14" t="str">
        <x:v>No</x:v>
      </x:c>
      <x:c r="I348" s="18" t="str">
        <x:v>App/product/brand/navigation/media intent rather than a calculation</x:v>
      </x:c>
      <x:c r="J348" s="18" t="str">
        <x:v>Excluded / Non-calculator</x:v>
      </x:c>
      <x:c r="K348" s="18" t="str"/>
      <x:c r="L348" s="18" t="n">
        <x:v>0</x:v>
      </x:c>
      <x:c r="M348" s="18" t="str"/>
      <x:c r="N348" s="18" t="str"/>
      <x:c r="O348" s="18" t="str"/>
      <x:c r="P348" s="30" t="n">
        <x:f>MAX(0,100-G348)</x:f>
        <x:v>43</x:v>
      </x:c>
      <x:c r="Q348" s="30" t="n">
        <x:f>MIN(100,ROUND(LOG10(D348+1)*18,0))</x:f>
        <x:v>66</x:v>
      </x:c>
      <x:c r="R348" s="30" t="n">
        <x:f>MIN(100,ROUND(E348*12,0))</x:f>
        <x:v>4</x:v>
      </x:c>
      <x:c r="S348" s="30" t="n">
        <x:f>IF(H348="No",0,ROUND(P348*0.45+Q348*0.30+R348*0.15+IF(M348="Easy",10,IF(M348="Medium",6,2))+IF(N348="High",5,IF(N348="Medium",3,0)),1))</x:f>
        <x:v>0</x:v>
      </x:c>
      <x:c r="T348" s="14" t="str">
        <x:f>IF(H348="No","Exclude",IF(S348&gt;=70,"Priority 1",IF(S348&gt;=55,"Priority 2",IF(S348&gt;=40,"Priority 3","Low priority"))))</x:f>
        <x:v>Exclude</x:v>
      </x:c>
    </x:row>
    <x:row r="349">
      <x:c r="A349" s="14" t="n">
        <x:v>348</x:v>
      </x:c>
      <x:c r="B349" s="18" t="str">
        <x:v>calculator tip</x:v>
      </x:c>
      <x:c r="C349" s="18" t="str">
        <x:v>navigational, informational</x:v>
      </x:c>
      <x:c r="D349" s="26" t="n">
        <x:v>3600</x:v>
      </x:c>
      <x:c r="E349" s="28" t="n">
        <x:v>0.5</x:v>
      </x:c>
      <x:c r="F349" s="14" t="n">
        <x:v>1</x:v>
      </x:c>
      <x:c r="G349" s="14" t="n">
        <x:v>57</x:v>
      </x:c>
      <x:c r="H349" s="14" t="str">
        <x:v>Yes</x:v>
      </x:c>
      <x:c r="I349" s="18" t="str">
        <x:v>Clear calculation, conversion, estimation, or formula intent</x:v>
      </x:c>
      <x:c r="J349" s="18" t="str">
        <x:v>General / Other</x:v>
      </x:c>
      <x:c r="K349" s="18" t="str">
        <x:v>Tip calculator</x:v>
      </x:c>
      <x:c r="L349" s="18" t="n">
        <x:v>1</x:v>
      </x:c>
      <x:c r="M349" s="18" t="str">
        <x:v>Easy</x:v>
      </x:c>
      <x:c r="N349" s="18" t="str">
        <x:v>Medium</x:v>
      </x:c>
      <x:c r="O349" s="18" t="str">
        <x:v>Ads</x:v>
      </x:c>
      <x:c r="P349" s="30" t="n">
        <x:f>MAX(0,100-G349)</x:f>
        <x:v>43</x:v>
      </x:c>
      <x:c r="Q349" s="30" t="n">
        <x:f>MIN(100,ROUND(LOG10(D349+1)*18,0))</x:f>
        <x:v>64</x:v>
      </x:c>
      <x:c r="R349" s="30" t="n">
        <x:f>MIN(100,ROUND(E349*12,0))</x:f>
        <x:v>6</x:v>
      </x:c>
      <x:c r="S349" s="30" t="n">
        <x:f>IF(H349="No",0,ROUND(P349*0.45+Q349*0.30+R349*0.15+IF(M349="Easy",10,IF(M349="Medium",6,2))+IF(N349="High",5,IF(N349="Medium",3,0)),1))</x:f>
        <x:v>52.5</x:v>
      </x:c>
      <x:c r="T349" s="14" t="str">
        <x:f>IF(H349="No","Exclude",IF(S349&gt;=70,"Priority 1",IF(S349&gt;=55,"Priority 2",IF(S349&gt;=40,"Priority 3","Low priority"))))</x:f>
        <x:v>Priority 3</x:v>
      </x:c>
    </x:row>
    <x:row r="350">
      <x:c r="A350" s="14" t="n">
        <x:v>349</x:v>
      </x:c>
      <x:c r="B350" s="18" t="str">
        <x:v>calculator time</x:v>
      </x:c>
      <x:c r="C350" s="18" t="str">
        <x:v>informational</x:v>
      </x:c>
      <x:c r="D350" s="26" t="n">
        <x:v>3600</x:v>
      </x:c>
      <x:c r="E350" s="28" t="n">
        <x:v>1.47</x:v>
      </x:c>
      <x:c r="F350" s="14" t="n">
        <x:v>1</x:v>
      </x:c>
      <x:c r="G350" s="14" t="n">
        <x:v>57</x:v>
      </x:c>
      <x:c r="H350" s="14" t="str">
        <x:v>Maybe</x:v>
      </x:c>
      <x:c r="I350" s="18" t="str">
        <x:v>Potential calculator intent, but keyword meaning is broad or ambiguous</x:v>
      </x:c>
      <x:c r="J350" s="18" t="str">
        <x:v>General / Other</x:v>
      </x:c>
      <x:c r="K350" s="18" t="str">
        <x:v>Time calculator</x:v>
      </x:c>
      <x:c r="L350" s="18" t="n">
        <x:v>1</x:v>
      </x:c>
      <x:c r="M350" s="18" t="str">
        <x:v>Easy</x:v>
      </x:c>
      <x:c r="N350" s="18" t="str">
        <x:v>Medium</x:v>
      </x:c>
      <x:c r="O350" s="18" t="str">
        <x:v>Ads</x:v>
      </x:c>
      <x:c r="P350" s="30" t="n">
        <x:f>MAX(0,100-G350)</x:f>
        <x:v>43</x:v>
      </x:c>
      <x:c r="Q350" s="30" t="n">
        <x:f>MIN(100,ROUND(LOG10(D350+1)*18,0))</x:f>
        <x:v>64</x:v>
      </x:c>
      <x:c r="R350" s="30" t="n">
        <x:f>MIN(100,ROUND(E350*12,0))</x:f>
        <x:v>18</x:v>
      </x:c>
      <x:c r="S350" s="30" t="n">
        <x:f>IF(H350="No",0,ROUND(P350*0.45+Q350*0.30+R350*0.15+IF(M350="Easy",10,IF(M350="Medium",6,2))+IF(N350="High",5,IF(N350="Medium",3,0)),1))</x:f>
        <x:v>54.3</x:v>
      </x:c>
      <x:c r="T350" s="14" t="str">
        <x:f>IF(H350="No","Exclude",IF(S350&gt;=70,"Priority 1",IF(S350&gt;=55,"Priority 2",IF(S350&gt;=40,"Priority 3","Low priority"))))</x:f>
        <x:v>Priority 3</x:v>
      </x:c>
    </x:row>
    <x:row r="351">
      <x:c r="A351" s="14" t="n">
        <x:v>350</x:v>
      </x:c>
      <x:c r="B351" s="18" t="str">
        <x:v>calculator love by name</x:v>
      </x:c>
      <x:c r="C351" s="18" t="str">
        <x:v>informational, navigational</x:v>
      </x:c>
      <x:c r="D351" s="26" t="n">
        <x:v>2400</x:v>
      </x:c>
      <x:c r="E351" s="28" t="n">
        <x:v>2.66</x:v>
      </x:c>
      <x:c r="F351" s="14" t="n">
        <x:v>1</x:v>
      </x:c>
      <x:c r="G351" s="14" t="n">
        <x:v>57</x:v>
      </x:c>
      <x:c r="H351" s="14" t="str">
        <x:v>Yes</x:v>
      </x:c>
      <x:c r="I351" s="18" t="str">
        <x:v>Clear calculation, conversion, estimation, or formula intent</x:v>
      </x:c>
      <x:c r="J351" s="18" t="str">
        <x:v>Lifestyle &amp; Entertainment</x:v>
      </x:c>
      <x:c r="K351" s="18" t="str">
        <x:v>Love By Name calculator</x:v>
      </x:c>
      <x:c r="L351" s="18" t="n">
        <x:v>1</x:v>
      </x:c>
      <x:c r="M351" s="18" t="str">
        <x:v>Easy</x:v>
      </x:c>
      <x:c r="N351" s="18" t="str">
        <x:v>Medium</x:v>
      </x:c>
      <x:c r="O351" s="18" t="str">
        <x:v>Ads</x:v>
      </x:c>
      <x:c r="P351" s="30" t="n">
        <x:f>MAX(0,100-G351)</x:f>
        <x:v>43</x:v>
      </x:c>
      <x:c r="Q351" s="30" t="n">
        <x:f>MIN(100,ROUND(LOG10(D351+1)*18,0))</x:f>
        <x:v>61</x:v>
      </x:c>
      <x:c r="R351" s="30" t="n">
        <x:f>MIN(100,ROUND(E351*12,0))</x:f>
        <x:v>32</x:v>
      </x:c>
      <x:c r="S351" s="30" t="n">
        <x:f>IF(H351="No",0,ROUND(P351*0.45+Q351*0.30+R351*0.15+IF(M351="Easy",10,IF(M351="Medium",6,2))+IF(N351="High",5,IF(N351="Medium",3,0)),1))</x:f>
        <x:v>55.5</x:v>
      </x:c>
      <x:c r="T351" s="14" t="str">
        <x:f>IF(H351="No","Exclude",IF(S351&gt;=70,"Priority 1",IF(S351&gt;=55,"Priority 2",IF(S351&gt;=40,"Priority 3","Low priority"))))</x:f>
        <x:v>Priority 2</x:v>
      </x:c>
    </x:row>
    <x:row r="352">
      <x:c r="A352" s="14" t="n">
        <x:v>351</x:v>
      </x:c>
      <x:c r="B352" s="18" t="str">
        <x:v>calculator loan</x:v>
      </x:c>
      <x:c r="C352" s="18" t="str">
        <x:v>transactional, commercial, informational</x:v>
      </x:c>
      <x:c r="D352" s="26" t="n">
        <x:v>1000</x:v>
      </x:c>
      <x:c r="E352" s="28" t="n">
        <x:v>2</x:v>
      </x:c>
      <x:c r="F352" s="14" t="n">
        <x:v>14</x:v>
      </x:c>
      <x:c r="G352" s="14" t="n">
        <x:v>57</x:v>
      </x:c>
      <x:c r="H352" s="14" t="str">
        <x:v>Yes</x:v>
      </x:c>
      <x:c r="I352" s="18" t="str">
        <x:v>Clear calculation, conversion, estimation, or formula intent</x:v>
      </x:c>
      <x:c r="J352" s="18" t="str">
        <x:v>Loans &amp; Auto Finance</x:v>
      </x:c>
      <x:c r="K352" s="18" t="str">
        <x:v>Loan calculator</x:v>
      </x:c>
      <x:c r="L352" s="18" t="n">
        <x:v>1</x:v>
      </x:c>
      <x:c r="M352" s="18" t="str">
        <x:v>Medium</x:v>
      </x:c>
      <x:c r="N352" s="18" t="str">
        <x:v>High</x:v>
      </x:c>
      <x:c r="O352" s="18" t="str">
        <x:v>Leads / Ads / Affiliate</x:v>
      </x:c>
      <x:c r="P352" s="30" t="n">
        <x:f>MAX(0,100-G352)</x:f>
        <x:v>43</x:v>
      </x:c>
      <x:c r="Q352" s="30" t="n">
        <x:f>MIN(100,ROUND(LOG10(D352+1)*18,0))</x:f>
        <x:v>54</x:v>
      </x:c>
      <x:c r="R352" s="30" t="n">
        <x:f>MIN(100,ROUND(E352*12,0))</x:f>
        <x:v>24</x:v>
      </x:c>
      <x:c r="S352" s="30" t="n">
        <x:f>IF(H352="No",0,ROUND(P352*0.45+Q352*0.30+R352*0.15+IF(M352="Easy",10,IF(M352="Medium",6,2))+IF(N352="High",5,IF(N352="Medium",3,0)),1))</x:f>
        <x:v>50.2</x:v>
      </x:c>
      <x:c r="T352" s="14" t="str">
        <x:f>IF(H352="No","Exclude",IF(S352&gt;=70,"Priority 1",IF(S352&gt;=55,"Priority 2",IF(S352&gt;=40,"Priority 3","Low priority"))))</x:f>
        <x:v>Priority 3</x:v>
      </x:c>
    </x:row>
    <x:row r="353">
      <x:c r="A353" s="14" t="n">
        <x:v>352</x:v>
      </x:c>
      <x:c r="B353" s="18" t="str">
        <x:v>calculator mortgage payment</x:v>
      </x:c>
      <x:c r="C353" s="18" t="str">
        <x:v>informational</x:v>
      </x:c>
      <x:c r="D353" s="26" t="n">
        <x:v>880</x:v>
      </x:c>
      <x:c r="E353" s="28" t="n">
        <x:v>2.07</x:v>
      </x:c>
      <x:c r="F353" s="14" t="n">
        <x:v>45</x:v>
      </x:c>
      <x:c r="G353" s="14" t="n">
        <x:v>57</x:v>
      </x:c>
      <x:c r="H353" s="14" t="str">
        <x:v>Yes</x:v>
      </x:c>
      <x:c r="I353" s="18" t="str">
        <x:v>Clear calculation, conversion, estimation, or formula intent</x:v>
      </x:c>
      <x:c r="J353" s="18" t="str">
        <x:v>Mortgage &amp; Real Estate</x:v>
      </x:c>
      <x:c r="K353" s="18" t="str">
        <x:v>Mortgage payment calculator</x:v>
      </x:c>
      <x:c r="L353" s="18" t="n">
        <x:v>7</x:v>
      </x:c>
      <x:c r="M353" s="18" t="str">
        <x:v>Medium</x:v>
      </x:c>
      <x:c r="N353" s="18" t="str">
        <x:v>High</x:v>
      </x:c>
      <x:c r="O353" s="18" t="str">
        <x:v>Leads / Ads / Affiliate</x:v>
      </x:c>
      <x:c r="P353" s="30" t="n">
        <x:f>MAX(0,100-G353)</x:f>
        <x:v>43</x:v>
      </x:c>
      <x:c r="Q353" s="30" t="n">
        <x:f>MIN(100,ROUND(LOG10(D353+1)*18,0))</x:f>
        <x:v>53</x:v>
      </x:c>
      <x:c r="R353" s="30" t="n">
        <x:f>MIN(100,ROUND(E353*12,0))</x:f>
        <x:v>25</x:v>
      </x:c>
      <x:c r="S353" s="30" t="n">
        <x:f>IF(H353="No",0,ROUND(P353*0.45+Q353*0.30+R353*0.15+IF(M353="Easy",10,IF(M353="Medium",6,2))+IF(N353="High",5,IF(N353="Medium",3,0)),1))</x:f>
        <x:v>50</x:v>
      </x:c>
      <x:c r="T353" s="14" t="str">
        <x:f>IF(H353="No","Exclude",IF(S353&gt;=70,"Priority 1",IF(S353&gt;=55,"Priority 2",IF(S353&gt;=40,"Priority 3","Low priority"))))</x:f>
        <x:v>Priority 3</x:v>
      </x:c>
    </x:row>
    <x:row r="354">
      <x:c r="A354" s="14" t="n">
        <x:v>353</x:v>
      </x:c>
      <x:c r="B354" s="18" t="str">
        <x:v>calculator tax</x:v>
      </x:c>
      <x:c r="C354" s="18" t="str">
        <x:v>informational</x:v>
      </x:c>
      <x:c r="D354" s="26" t="n">
        <x:v>590</x:v>
      </x:c>
      <x:c r="E354" s="28" t="n">
        <x:v>3.59</x:v>
      </x:c>
      <x:c r="F354" s="14" t="n">
        <x:v>21</x:v>
      </x:c>
      <x:c r="G354" s="14" t="n">
        <x:v>57</x:v>
      </x:c>
      <x:c r="H354" s="14" t="str">
        <x:v>Yes</x:v>
      </x:c>
      <x:c r="I354" s="18" t="str">
        <x:v>Clear calculation, conversion, estimation, or formula intent</x:v>
      </x:c>
      <x:c r="J354" s="18" t="str">
        <x:v>Salary, Payroll &amp; Tax</x:v>
      </x:c>
      <x:c r="K354" s="18" t="str">
        <x:v>Tax calculator</x:v>
      </x:c>
      <x:c r="L354" s="18" t="n">
        <x:v>1</x:v>
      </x:c>
      <x:c r="M354" s="18" t="str">
        <x:v>Complex</x:v>
      </x:c>
      <x:c r="N354" s="18" t="str">
        <x:v>High</x:v>
      </x:c>
      <x:c r="O354" s="18" t="str">
        <x:v>Ads / SaaS leads</x:v>
      </x:c>
      <x:c r="P354" s="30" t="n">
        <x:f>MAX(0,100-G354)</x:f>
        <x:v>43</x:v>
      </x:c>
      <x:c r="Q354" s="30" t="n">
        <x:f>MIN(100,ROUND(LOG10(D354+1)*18,0))</x:f>
        <x:v>50</x:v>
      </x:c>
      <x:c r="R354" s="30" t="n">
        <x:f>MIN(100,ROUND(E354*12,0))</x:f>
        <x:v>43</x:v>
      </x:c>
      <x:c r="S354" s="30" t="n">
        <x:f>IF(H354="No",0,ROUND(P354*0.45+Q354*0.30+R354*0.15+IF(M354="Easy",10,IF(M354="Medium",6,2))+IF(N354="High",5,IF(N354="Medium",3,0)),1))</x:f>
        <x:v>47.8</x:v>
      </x:c>
      <x:c r="T354" s="14" t="str">
        <x:f>IF(H354="No","Exclude",IF(S354&gt;=70,"Priority 1",IF(S354&gt;=55,"Priority 2",IF(S354&gt;=40,"Priority 3","Low priority"))))</x:f>
        <x:v>Priority 3</x:v>
      </x:c>
    </x:row>
    <x:row r="355">
      <x:c r="A355" s="14" t="n">
        <x:v>354</x:v>
      </x:c>
      <x:c r="B355" s="18" t="str">
        <x:v>calculator gpa</x:v>
      </x:c>
      <x:c r="C355" s="18" t="str">
        <x:v>informational</x:v>
      </x:c>
      <x:c r="D355" s="26" t="n">
        <x:v>823000</x:v>
      </x:c>
      <x:c r="E355" s="28" t="n">
        <x:v>4.54</x:v>
      </x:c>
      <x:c r="F355" s="14" t="n">
        <x:v>1</x:v>
      </x:c>
      <x:c r="G355" s="14" t="n">
        <x:v>58</x:v>
      </x:c>
      <x:c r="H355" s="14" t="str">
        <x:v>Yes</x:v>
      </x:c>
      <x:c r="I355" s="18" t="str">
        <x:v>Clear calculation, conversion, estimation, or formula intent</x:v>
      </x:c>
      <x:c r="J355" s="18" t="str">
        <x:v>Math &amp; Education</x:v>
      </x:c>
      <x:c r="K355" s="18" t="str">
        <x:v>Gpa calculator</x:v>
      </x:c>
      <x:c r="L355" s="18" t="n">
        <x:v>1</x:v>
      </x:c>
      <x:c r="M355" s="18" t="str">
        <x:v>Medium</x:v>
      </x:c>
      <x:c r="N355" s="18" t="str">
        <x:v>Medium</x:v>
      </x:c>
      <x:c r="O355" s="18" t="str">
        <x:v>Ads / EdTech</x:v>
      </x:c>
      <x:c r="P355" s="30" t="n">
        <x:f>MAX(0,100-G355)</x:f>
        <x:v>42</x:v>
      </x:c>
      <x:c r="Q355" s="30" t="n">
        <x:f>MIN(100,ROUND(LOG10(D355+1)*18,0))</x:f>
        <x:v>100</x:v>
      </x:c>
      <x:c r="R355" s="30" t="n">
        <x:f>MIN(100,ROUND(E355*12,0))</x:f>
        <x:v>54</x:v>
      </x:c>
      <x:c r="S355" s="30" t="n">
        <x:f>IF(H355="No",0,ROUND(P355*0.45+Q355*0.30+R355*0.15+IF(M355="Easy",10,IF(M355="Medium",6,2))+IF(N355="High",5,IF(N355="Medium",3,0)),1))</x:f>
        <x:v>66</x:v>
      </x:c>
      <x:c r="T355" s="14" t="str">
        <x:f>IF(H355="No","Exclude",IF(S355&gt;=70,"Priority 1",IF(S355&gt;=55,"Priority 2",IF(S355&gt;=40,"Priority 3","Low priority"))))</x:f>
        <x:v>Priority 2</x:v>
      </x:c>
    </x:row>
    <x:row r="356">
      <x:c r="A356" s="14" t="n">
        <x:v>355</x:v>
      </x:c>
      <x:c r="B356" s="18" t="str">
        <x:v>calculator quadratic equation</x:v>
      </x:c>
      <x:c r="C356" s="18" t="str">
        <x:v>informational</x:v>
      </x:c>
      <x:c r="D356" s="26" t="n">
        <x:v>22200</x:v>
      </x:c>
      <x:c r="E356" s="28" t="n">
        <x:v>1.89</x:v>
      </x:c>
      <x:c r="F356" s="14" t="n">
        <x:v>2</x:v>
      </x:c>
      <x:c r="G356" s="14" t="n">
        <x:v>58</x:v>
      </x:c>
      <x:c r="H356" s="14" t="str">
        <x:v>Yes</x:v>
      </x:c>
      <x:c r="I356" s="18" t="str">
        <x:v>Clear calculation, conversion, estimation, or formula intent</x:v>
      </x:c>
      <x:c r="J356" s="18" t="str">
        <x:v>Math &amp; Education</x:v>
      </x:c>
      <x:c r="K356" s="18" t="str">
        <x:v>Quadratic equation calculator</x:v>
      </x:c>
      <x:c r="L356" s="18" t="n">
        <x:v>3</x:v>
      </x:c>
      <x:c r="M356" s="18" t="str">
        <x:v>Easy</x:v>
      </x:c>
      <x:c r="N356" s="18" t="str">
        <x:v>Medium</x:v>
      </x:c>
      <x:c r="O356" s="18" t="str">
        <x:v>Ads / EdTech</x:v>
      </x:c>
      <x:c r="P356" s="30" t="n">
        <x:f>MAX(0,100-G356)</x:f>
        <x:v>42</x:v>
      </x:c>
      <x:c r="Q356" s="30" t="n">
        <x:f>MIN(100,ROUND(LOG10(D356+1)*18,0))</x:f>
        <x:v>78</x:v>
      </x:c>
      <x:c r="R356" s="30" t="n">
        <x:f>MIN(100,ROUND(E356*12,0))</x:f>
        <x:v>23</x:v>
      </x:c>
      <x:c r="S356" s="30" t="n">
        <x:f>IF(H356="No",0,ROUND(P356*0.45+Q356*0.30+R356*0.15+IF(M356="Easy",10,IF(M356="Medium",6,2))+IF(N356="High",5,IF(N356="Medium",3,0)),1))</x:f>
        <x:v>58.8</x:v>
      </x:c>
      <x:c r="T356" s="14" t="str">
        <x:f>IF(H356="No","Exclude",IF(S356&gt;=70,"Priority 1",IF(S356&gt;=55,"Priority 2",IF(S356&gt;=40,"Priority 3","Low priority"))))</x:f>
        <x:v>Priority 2</x:v>
      </x:c>
    </x:row>
    <x:row r="357">
      <x:c r="A357" s="14" t="n">
        <x:v>356</x:v>
      </x:c>
      <x:c r="B357" s="18" t="str">
        <x:v>calculator simple</x:v>
      </x:c>
      <x:c r="C357" s="18" t="str">
        <x:v>informational</x:v>
      </x:c>
      <x:c r="D357" s="26" t="n">
        <x:v>18100</x:v>
      </x:c>
      <x:c r="E357" s="28" t="n">
        <x:v>0.83</x:v>
      </x:c>
      <x:c r="F357" s="14" t="n">
        <x:v>17</x:v>
      </x:c>
      <x:c r="G357" s="14" t="n">
        <x:v>58</x:v>
      </x:c>
      <x:c r="H357" s="14" t="str">
        <x:v>No</x:v>
      </x:c>
      <x:c r="I357" s="18" t="str">
        <x:v>App/product/brand/navigation/media intent rather than a calculation</x:v>
      </x:c>
      <x:c r="J357" s="18" t="str">
        <x:v>Excluded / Non-calculator</x:v>
      </x:c>
      <x:c r="K357" s="18" t="str"/>
      <x:c r="L357" s="18" t="n">
        <x:v>0</x:v>
      </x:c>
      <x:c r="M357" s="18" t="str"/>
      <x:c r="N357" s="18" t="str"/>
      <x:c r="O357" s="18" t="str"/>
      <x:c r="P357" s="30" t="n">
        <x:f>MAX(0,100-G357)</x:f>
        <x:v>42</x:v>
      </x:c>
      <x:c r="Q357" s="30" t="n">
        <x:f>MIN(100,ROUND(LOG10(D357+1)*18,0))</x:f>
        <x:v>77</x:v>
      </x:c>
      <x:c r="R357" s="30" t="n">
        <x:f>MIN(100,ROUND(E357*12,0))</x:f>
        <x:v>10</x:v>
      </x:c>
      <x:c r="S357" s="30" t="n">
        <x:f>IF(H357="No",0,ROUND(P357*0.45+Q357*0.30+R357*0.15+IF(M357="Easy",10,IF(M357="Medium",6,2))+IF(N357="High",5,IF(N357="Medium",3,0)),1))</x:f>
        <x:v>0</x:v>
      </x:c>
      <x:c r="T357" s="14" t="str">
        <x:f>IF(H357="No","Exclude",IF(S357&gt;=70,"Priority 1",IF(S357&gt;=55,"Priority 2",IF(S357&gt;=40,"Priority 3","Low priority"))))</x:f>
        <x:v>Exclude</x:v>
      </x:c>
    </x:row>
    <x:row r="358">
      <x:c r="A358" s="14" t="n">
        <x:v>357</x:v>
      </x:c>
      <x:c r="B358" s="18" t="str">
        <x:v>calculator app free</x:v>
      </x:c>
      <x:c r="C358" s="18" t="str">
        <x:v>informational</x:v>
      </x:c>
      <x:c r="D358" s="26" t="n">
        <x:v>9900</x:v>
      </x:c>
      <x:c r="E358" s="28" t="n">
        <x:v>1.57</x:v>
      </x:c>
      <x:c r="F358" s="14" t="n">
        <x:v>28</x:v>
      </x:c>
      <x:c r="G358" s="14" t="n">
        <x:v>58</x:v>
      </x:c>
      <x:c r="H358" s="14" t="str">
        <x:v>No</x:v>
      </x:c>
      <x:c r="I358" s="18" t="str">
        <x:v>App/product/brand/navigation/media intent rather than a calculation</x:v>
      </x:c>
      <x:c r="J358" s="18" t="str">
        <x:v>Excluded / Non-calculator</x:v>
      </x:c>
      <x:c r="K358" s="18" t="str"/>
      <x:c r="L358" s="18" t="n">
        <x:v>0</x:v>
      </x:c>
      <x:c r="M358" s="18" t="str"/>
      <x:c r="N358" s="18" t="str"/>
      <x:c r="O358" s="18" t="str"/>
      <x:c r="P358" s="30" t="n">
        <x:f>MAX(0,100-G358)</x:f>
        <x:v>42</x:v>
      </x:c>
      <x:c r="Q358" s="30" t="n">
        <x:f>MIN(100,ROUND(LOG10(D358+1)*18,0))</x:f>
        <x:v>72</x:v>
      </x:c>
      <x:c r="R358" s="30" t="n">
        <x:f>MIN(100,ROUND(E358*12,0))</x:f>
        <x:v>19</x:v>
      </x:c>
      <x:c r="S358" s="30" t="n">
        <x:f>IF(H358="No",0,ROUND(P358*0.45+Q358*0.30+R358*0.15+IF(M358="Easy",10,IF(M358="Medium",6,2))+IF(N358="High",5,IF(N358="Medium",3,0)),1))</x:f>
        <x:v>0</x:v>
      </x:c>
      <x:c r="T358" s="14" t="str">
        <x:f>IF(H358="No","Exclude",IF(S358&gt;=70,"Priority 1",IF(S358&gt;=55,"Priority 2",IF(S358&gt;=40,"Priority 3","Low priority"))))</x:f>
        <x:v>Exclude</x:v>
      </x:c>
    </x:row>
    <x:row r="359">
      <x:c r="A359" s="14" t="n">
        <x:v>358</x:v>
      </x:c>
      <x:c r="B359" s="18" t="str">
        <x:v>calculator percentage</x:v>
      </x:c>
      <x:c r="C359" s="18" t="str">
        <x:v>informational</x:v>
      </x:c>
      <x:c r="D359" s="26" t="n">
        <x:v>2900</x:v>
      </x:c>
      <x:c r="E359" s="28" t="n">
        <x:v>3</x:v>
      </x:c>
      <x:c r="F359" s="14" t="n">
        <x:v>1</x:v>
      </x:c>
      <x:c r="G359" s="14" t="n">
        <x:v>58</x:v>
      </x:c>
      <x:c r="H359" s="14" t="str">
        <x:v>Yes</x:v>
      </x:c>
      <x:c r="I359" s="18" t="str">
        <x:v>Clear calculation, conversion, estimation, or formula intent</x:v>
      </x:c>
      <x:c r="J359" s="18" t="str">
        <x:v>Date &amp; Time</x:v>
      </x:c>
      <x:c r="K359" s="18" t="str">
        <x:v>Percentage calculator</x:v>
      </x:c>
      <x:c r="L359" s="18" t="n">
        <x:v>1</x:v>
      </x:c>
      <x:c r="M359" s="18" t="str">
        <x:v>Easy</x:v>
      </x:c>
      <x:c r="N359" s="18" t="str">
        <x:v>Medium</x:v>
      </x:c>
      <x:c r="O359" s="18" t="str">
        <x:v>Ads</x:v>
      </x:c>
      <x:c r="P359" s="30" t="n">
        <x:f>MAX(0,100-G359)</x:f>
        <x:v>42</x:v>
      </x:c>
      <x:c r="Q359" s="30" t="n">
        <x:f>MIN(100,ROUND(LOG10(D359+1)*18,0))</x:f>
        <x:v>62</x:v>
      </x:c>
      <x:c r="R359" s="30" t="n">
        <x:f>MIN(100,ROUND(E359*12,0))</x:f>
        <x:v>36</x:v>
      </x:c>
      <x:c r="S359" s="30" t="n">
        <x:f>IF(H359="No",0,ROUND(P359*0.45+Q359*0.30+R359*0.15+IF(M359="Easy",10,IF(M359="Medium",6,2))+IF(N359="High",5,IF(N359="Medium",3,0)),1))</x:f>
        <x:v>55.9</x:v>
      </x:c>
      <x:c r="T359" s="14" t="str">
        <x:f>IF(H359="No","Exclude",IF(S359&gt;=70,"Priority 1",IF(S359&gt;=55,"Priority 2",IF(S359&gt;=40,"Priority 3","Low priority"))))</x:f>
        <x:v>Priority 2</x:v>
      </x:c>
    </x:row>
    <x:row r="360">
      <x:c r="A360" s="14" t="n">
        <x:v>359</x:v>
      </x:c>
      <x:c r="B360" s="18" t="str">
        <x:v>calculator 11</x:v>
      </x:c>
      <x:c r="C360" s="18" t="str">
        <x:v>informational, transactional</x:v>
      </x:c>
      <x:c r="D360" s="26" t="n">
        <x:v>50</x:v>
      </x:c>
      <x:c r="E360" s="28" t="n">
        <x:v>0</x:v>
      </x:c>
      <x:c r="F360" s="14" t="n">
        <x:v>2</x:v>
      </x:c>
      <x:c r="G360" s="14" t="n">
        <x:v>58</x:v>
      </x:c>
      <x:c r="H360" s="14" t="str">
        <x:v>No</x:v>
      </x:c>
      <x:c r="I360" s="18" t="str">
        <x:v>Model/number query, not a distinct web calculator</x:v>
      </x:c>
      <x:c r="J360" s="18" t="str">
        <x:v>Excluded / Non-calculator</x:v>
      </x:c>
      <x:c r="K360" s="18" t="str"/>
      <x:c r="L360" s="18" t="n">
        <x:v>0</x:v>
      </x:c>
      <x:c r="M360" s="18" t="str"/>
      <x:c r="N360" s="18" t="str"/>
      <x:c r="O360" s="18" t="str"/>
      <x:c r="P360" s="30" t="n">
        <x:f>MAX(0,100-G360)</x:f>
        <x:v>42</x:v>
      </x:c>
      <x:c r="Q360" s="30" t="n">
        <x:f>MIN(100,ROUND(LOG10(D360+1)*18,0))</x:f>
        <x:v>31</x:v>
      </x:c>
      <x:c r="R360" s="30" t="n">
        <x:f>MIN(100,ROUND(E360*12,0))</x:f>
        <x:v>0</x:v>
      </x:c>
      <x:c r="S360" s="30" t="n">
        <x:f>IF(H360="No",0,ROUND(P360*0.45+Q360*0.30+R360*0.15+IF(M360="Easy",10,IF(M360="Medium",6,2))+IF(N360="High",5,IF(N360="Medium",3,0)),1))</x:f>
        <x:v>0</x:v>
      </x:c>
      <x:c r="T360" s="14" t="str">
        <x:f>IF(H360="No","Exclude",IF(S360&gt;=70,"Priority 1",IF(S360&gt;=55,"Priority 2",IF(S360&gt;=40,"Priority 3","Low priority"))))</x:f>
        <x:v>Exclude</x:v>
      </x:c>
    </x:row>
    <x:row r="361">
      <x:c r="A361" s="14" t="n">
        <x:v>360</x:v>
      </x:c>
      <x:c r="B361" s="18" t="str">
        <x:v>calculator auto loan</x:v>
      </x:c>
      <x:c r="C361" s="18" t="str">
        <x:v>informational</x:v>
      </x:c>
      <x:c r="D361" s="26" t="n">
        <x:v>673000</x:v>
      </x:c>
      <x:c r="E361" s="28" t="n">
        <x:v>1.4</x:v>
      </x:c>
      <x:c r="F361" s="14" t="n">
        <x:v>20</x:v>
      </x:c>
      <x:c r="G361" s="14" t="n">
        <x:v>59</x:v>
      </x:c>
      <x:c r="H361" s="14" t="str">
        <x:v>Yes</x:v>
      </x:c>
      <x:c r="I361" s="18" t="str">
        <x:v>Clear calculation, conversion, estimation, or formula intent</x:v>
      </x:c>
      <x:c r="J361" s="18" t="str">
        <x:v>Loans &amp; Auto Finance</x:v>
      </x:c>
      <x:c r="K361" s="18" t="str">
        <x:v>Car loan/payment calculator</x:v>
      </x:c>
      <x:c r="L361" s="18" t="n">
        <x:v>6</x:v>
      </x:c>
      <x:c r="M361" s="18" t="str">
        <x:v>Medium</x:v>
      </x:c>
      <x:c r="N361" s="18" t="str">
        <x:v>High</x:v>
      </x:c>
      <x:c r="O361" s="18" t="str">
        <x:v>Leads / Ads / Affiliate</x:v>
      </x:c>
      <x:c r="P361" s="30" t="n">
        <x:f>MAX(0,100-G361)</x:f>
        <x:v>41</x:v>
      </x:c>
      <x:c r="Q361" s="30" t="n">
        <x:f>MIN(100,ROUND(LOG10(D361+1)*18,0))</x:f>
        <x:v>100</x:v>
      </x:c>
      <x:c r="R361" s="30" t="n">
        <x:f>MIN(100,ROUND(E361*12,0))</x:f>
        <x:v>17</x:v>
      </x:c>
      <x:c r="S361" s="30" t="n">
        <x:f>IF(H361="No",0,ROUND(P361*0.45+Q361*0.30+R361*0.15+IF(M361="Easy",10,IF(M361="Medium",6,2))+IF(N361="High",5,IF(N361="Medium",3,0)),1))</x:f>
        <x:v>62</x:v>
      </x:c>
      <x:c r="T361" s="14" t="str">
        <x:f>IF(H361="No","Exclude",IF(S361&gt;=70,"Priority 1",IF(S361&gt;=55,"Priority 2",IF(S361&gt;=40,"Priority 3","Low priority"))))</x:f>
        <x:v>Priority 2</x:v>
      </x:c>
    </x:row>
    <x:row r="362">
      <x:c r="A362" s="14" t="n">
        <x:v>361</x:v>
      </x:c>
      <x:c r="B362" s="18" t="str">
        <x:v>calculator calendar</x:v>
      </x:c>
      <x:c r="C362" s="18" t="str">
        <x:v>informational, transactional</x:v>
      </x:c>
      <x:c r="D362" s="26" t="n">
        <x:v>1900</x:v>
      </x:c>
      <x:c r="E362" s="28" t="n">
        <x:v>0.02</x:v>
      </x:c>
      <x:c r="F362" s="14" t="n">
        <x:v>1</x:v>
      </x:c>
      <x:c r="G362" s="14" t="n">
        <x:v>59</x:v>
      </x:c>
      <x:c r="H362" s="14" t="str">
        <x:v>Yes</x:v>
      </x:c>
      <x:c r="I362" s="18" t="str">
        <x:v>Clear calculation, conversion, estimation, or formula intent</x:v>
      </x:c>
      <x:c r="J362" s="18" t="str">
        <x:v>Date &amp; Time</x:v>
      </x:c>
      <x:c r="K362" s="18" t="str">
        <x:v>Calendar calculator</x:v>
      </x:c>
      <x:c r="L362" s="18" t="n">
        <x:v>1</x:v>
      </x:c>
      <x:c r="M362" s="18" t="str">
        <x:v>Easy</x:v>
      </x:c>
      <x:c r="N362" s="18" t="str">
        <x:v>Medium</x:v>
      </x:c>
      <x:c r="O362" s="18" t="str">
        <x:v>Ads</x:v>
      </x:c>
      <x:c r="P362" s="30" t="n">
        <x:f>MAX(0,100-G362)</x:f>
        <x:v>41</x:v>
      </x:c>
      <x:c r="Q362" s="30" t="n">
        <x:f>MIN(100,ROUND(LOG10(D362+1)*18,0))</x:f>
        <x:v>59</x:v>
      </x:c>
      <x:c r="R362" s="30" t="n">
        <x:f>MIN(100,ROUND(E362*12,0))</x:f>
        <x:v>0</x:v>
      </x:c>
      <x:c r="S362" s="30" t="n">
        <x:f>IF(H362="No",0,ROUND(P362*0.45+Q362*0.30+R362*0.15+IF(M362="Easy",10,IF(M362="Medium",6,2))+IF(N362="High",5,IF(N362="Medium",3,0)),1))</x:f>
        <x:v>49.2</x:v>
      </x:c>
      <x:c r="T362" s="14" t="str">
        <x:f>IF(H362="No","Exclude",IF(S362&gt;=70,"Priority 1",IF(S362&gt;=55,"Priority 2",IF(S362&gt;=40,"Priority 3","Low priority"))))</x:f>
        <x:v>Priority 3</x:v>
      </x:c>
    </x:row>
    <x:row r="363">
      <x:c r="A363" s="14" t="n">
        <x:v>362</x:v>
      </x:c>
      <x:c r="B363" s="18" t="str">
        <x:v>calculator due date</x:v>
      </x:c>
      <x:c r="C363" s="18" t="str">
        <x:v>informational</x:v>
      </x:c>
      <x:c r="D363" s="26" t="n">
        <x:v>260</x:v>
      </x:c>
      <x:c r="E363" s="28" t="n">
        <x:v>0.86</x:v>
      </x:c>
      <x:c r="F363" s="14" t="n">
        <x:v>26</x:v>
      </x:c>
      <x:c r="G363" s="14" t="n">
        <x:v>59</x:v>
      </x:c>
      <x:c r="H363" s="14" t="str">
        <x:v>Yes</x:v>
      </x:c>
      <x:c r="I363" s="18" t="str">
        <x:v>Clear calculation, conversion, estimation, or formula intent</x:v>
      </x:c>
      <x:c r="J363" s="18" t="str">
        <x:v>Pregnancy &amp; Family</x:v>
      </x:c>
      <x:c r="K363" s="18" t="str">
        <x:v>Date calculator</x:v>
      </x:c>
      <x:c r="L363" s="18" t="n">
        <x:v>9</x:v>
      </x:c>
      <x:c r="M363" s="18" t="str">
        <x:v>Medium</x:v>
      </x:c>
      <x:c r="N363" s="18" t="str">
        <x:v>Medium</x:v>
      </x:c>
      <x:c r="O363" s="18" t="str">
        <x:v>Ads / Affiliate</x:v>
      </x:c>
      <x:c r="P363" s="30" t="n">
        <x:f>MAX(0,100-G363)</x:f>
        <x:v>41</x:v>
      </x:c>
      <x:c r="Q363" s="30" t="n">
        <x:f>MIN(100,ROUND(LOG10(D363+1)*18,0))</x:f>
        <x:v>43</x:v>
      </x:c>
      <x:c r="R363" s="30" t="n">
        <x:f>MIN(100,ROUND(E363*12,0))</x:f>
        <x:v>10</x:v>
      </x:c>
      <x:c r="S363" s="30" t="n">
        <x:f>IF(H363="No",0,ROUND(P363*0.45+Q363*0.30+R363*0.15+IF(M363="Easy",10,IF(M363="Medium",6,2))+IF(N363="High",5,IF(N363="Medium",3,0)),1))</x:f>
        <x:v>41.9</x:v>
      </x:c>
      <x:c r="T363" s="14" t="str">
        <x:f>IF(H363="No","Exclude",IF(S363&gt;=70,"Priority 1",IF(S363&gt;=55,"Priority 2",IF(S363&gt;=40,"Priority 3","Low priority"))))</x:f>
        <x:v>Priority 3</x:v>
      </x:c>
    </x:row>
    <x:row r="364">
      <x:c r="A364" s="14" t="n">
        <x:v>363</x:v>
      </x:c>
      <x:c r="B364" s="18" t="str">
        <x:v>calculator ovulation</x:v>
      </x:c>
      <x:c r="C364" s="18" t="str">
        <x:v>null</x:v>
      </x:c>
      <x:c r="D364" s="26" t="n">
        <x:v>246000</x:v>
      </x:c>
      <x:c r="E364" s="28" t="n">
        <x:v>2.06</x:v>
      </x:c>
      <x:c r="F364" s="14" t="n">
        <x:v>16</x:v>
      </x:c>
      <x:c r="G364" s="14" t="n">
        <x:v>60</x:v>
      </x:c>
      <x:c r="H364" s="14" t="str">
        <x:v>Yes</x:v>
      </x:c>
      <x:c r="I364" s="18" t="str">
        <x:v>Clear calculation, conversion, estimation, or formula intent</x:v>
      </x:c>
      <x:c r="J364" s="18" t="str">
        <x:v>Pregnancy &amp; Family</x:v>
      </x:c>
      <x:c r="K364" s="18" t="str">
        <x:v>Ovulation calculator</x:v>
      </x:c>
      <x:c r="L364" s="18" t="n">
        <x:v>1</x:v>
      </x:c>
      <x:c r="M364" s="18" t="str">
        <x:v>Medium</x:v>
      </x:c>
      <x:c r="N364" s="18" t="str">
        <x:v>Medium</x:v>
      </x:c>
      <x:c r="O364" s="18" t="str">
        <x:v>Ads / Affiliate</x:v>
      </x:c>
      <x:c r="P364" s="30" t="n">
        <x:f>MAX(0,100-G364)</x:f>
        <x:v>40</x:v>
      </x:c>
      <x:c r="Q364" s="30" t="n">
        <x:f>MIN(100,ROUND(LOG10(D364+1)*18,0))</x:f>
        <x:v>97</x:v>
      </x:c>
      <x:c r="R364" s="30" t="n">
        <x:f>MIN(100,ROUND(E364*12,0))</x:f>
        <x:v>25</x:v>
      </x:c>
      <x:c r="S364" s="30" t="n">
        <x:f>IF(H364="No",0,ROUND(P364*0.45+Q364*0.30+R364*0.15+IF(M364="Easy",10,IF(M364="Medium",6,2))+IF(N364="High",5,IF(N364="Medium",3,0)),1))</x:f>
        <x:v>59.9</x:v>
      </x:c>
      <x:c r="T364" s="14" t="str">
        <x:f>IF(H364="No","Exclude",IF(S364&gt;=70,"Priority 1",IF(S364&gt;=55,"Priority 2",IF(S364&gt;=40,"Priority 3","Low priority"))))</x:f>
        <x:v>Priority 2</x:v>
      </x:c>
    </x:row>
    <x:row r="365">
      <x:c r="A365" s="14" t="n">
        <x:v>364</x:v>
      </x:c>
      <x:c r="B365" s="18" t="str">
        <x:v>calculator birth</x:v>
      </x:c>
      <x:c r="C365" s="18" t="str">
        <x:v>transactional, informational</x:v>
      </x:c>
      <x:c r="D365" s="26" t="n">
        <x:v>3600</x:v>
      </x:c>
      <x:c r="E365" s="28" t="n">
        <x:v>0.62</x:v>
      </x:c>
      <x:c r="F365" s="14" t="n">
        <x:v>11</x:v>
      </x:c>
      <x:c r="G365" s="14" t="n">
        <x:v>60</x:v>
      </x:c>
      <x:c r="H365" s="14" t="str">
        <x:v>Yes</x:v>
      </x:c>
      <x:c r="I365" s="18" t="str">
        <x:v>Clear calculation, conversion, estimation, or formula intent</x:v>
      </x:c>
      <x:c r="J365" s="18" t="str">
        <x:v>Pregnancy &amp; Family</x:v>
      </x:c>
      <x:c r="K365" s="18" t="str">
        <x:v>Birth calculator</x:v>
      </x:c>
      <x:c r="L365" s="18" t="n">
        <x:v>1</x:v>
      </x:c>
      <x:c r="M365" s="18" t="str">
        <x:v>Easy</x:v>
      </x:c>
      <x:c r="N365" s="18" t="str">
        <x:v>Medium</x:v>
      </x:c>
      <x:c r="O365" s="18" t="str">
        <x:v>Ads / Affiliate</x:v>
      </x:c>
      <x:c r="P365" s="30" t="n">
        <x:f>MAX(0,100-G365)</x:f>
        <x:v>40</x:v>
      </x:c>
      <x:c r="Q365" s="30" t="n">
        <x:f>MIN(100,ROUND(LOG10(D365+1)*18,0))</x:f>
        <x:v>64</x:v>
      </x:c>
      <x:c r="R365" s="30" t="n">
        <x:f>MIN(100,ROUND(E365*12,0))</x:f>
        <x:v>7</x:v>
      </x:c>
      <x:c r="S365" s="30" t="n">
        <x:f>IF(H365="No",0,ROUND(P365*0.45+Q365*0.30+R365*0.15+IF(M365="Easy",10,IF(M365="Medium",6,2))+IF(N365="High",5,IF(N365="Medium",3,0)),1))</x:f>
        <x:v>51.3</x:v>
      </x:c>
      <x:c r="T365" s="14" t="str">
        <x:f>IF(H365="No","Exclude",IF(S365&gt;=70,"Priority 1",IF(S365&gt;=55,"Priority 2",IF(S365&gt;=40,"Priority 3","Low priority"))))</x:f>
        <x:v>Priority 3</x:v>
      </x:c>
    </x:row>
    <x:row r="366">
      <x:c r="A366" s="14" t="n">
        <x:v>365</x:v>
      </x:c>
      <x:c r="B366" s="18" t="str">
        <x:v>calculator easy</x:v>
      </x:c>
      <x:c r="C366" s="18" t="str">
        <x:v>null</x:v>
      </x:c>
      <x:c r="D366" s="26" t="n">
        <x:v>1300</x:v>
      </x:c>
      <x:c r="E366" s="28" t="n">
        <x:v>0.64</x:v>
      </x:c>
      <x:c r="F366" s="14" t="n">
        <x:v>6</x:v>
      </x:c>
      <x:c r="G366" s="14" t="n">
        <x:v>60</x:v>
      </x:c>
      <x:c r="H366" s="14" t="str">
        <x:v>No</x:v>
      </x:c>
      <x:c r="I366" s="18" t="str">
        <x:v>App/product/brand/navigation/media intent rather than a calculation</x:v>
      </x:c>
      <x:c r="J366" s="18" t="str">
        <x:v>Excluded / Non-calculator</x:v>
      </x:c>
      <x:c r="K366" s="18" t="str"/>
      <x:c r="L366" s="18" t="n">
        <x:v>0</x:v>
      </x:c>
      <x:c r="M366" s="18" t="str"/>
      <x:c r="N366" s="18" t="str"/>
      <x:c r="O366" s="18" t="str"/>
      <x:c r="P366" s="30" t="n">
        <x:f>MAX(0,100-G366)</x:f>
        <x:v>40</x:v>
      </x:c>
      <x:c r="Q366" s="30" t="n">
        <x:f>MIN(100,ROUND(LOG10(D366+1)*18,0))</x:f>
        <x:v>56</x:v>
      </x:c>
      <x:c r="R366" s="30" t="n">
        <x:f>MIN(100,ROUND(E366*12,0))</x:f>
        <x:v>8</x:v>
      </x:c>
      <x:c r="S366" s="30" t="n">
        <x:f>IF(H366="No",0,ROUND(P366*0.45+Q366*0.30+R366*0.15+IF(M366="Easy",10,IF(M366="Medium",6,2))+IF(N366="High",5,IF(N366="Medium",3,0)),1))</x:f>
        <x:v>0</x:v>
      </x:c>
      <x:c r="T366" s="14" t="str">
        <x:f>IF(H366="No","Exclude",IF(S366&gt;=70,"Priority 1",IF(S366&gt;=55,"Priority 2",IF(S366&gt;=40,"Priority 3","Low priority"))))</x:f>
        <x:v>Exclude</x:v>
      </x:c>
    </x:row>
    <x:row r="367">
      <x:c r="A367" s="14" t="n">
        <x:v>366</x:v>
      </x:c>
      <x:c r="B367" s="18" t="str">
        <x:v>calculator car loan</x:v>
      </x:c>
      <x:c r="C367" s="18" t="str">
        <x:v>commercial, informational, transactional</x:v>
      </x:c>
      <x:c r="D367" s="26" t="n">
        <x:v>1000</x:v>
      </x:c>
      <x:c r="E367" s="28" t="n">
        <x:v>1.16</x:v>
      </x:c>
      <x:c r="F367" s="14" t="n">
        <x:v>28</x:v>
      </x:c>
      <x:c r="G367" s="14" t="n">
        <x:v>60</x:v>
      </x:c>
      <x:c r="H367" s="14" t="str">
        <x:v>Yes</x:v>
      </x:c>
      <x:c r="I367" s="18" t="str">
        <x:v>Clear calculation, conversion, estimation, or formula intent</x:v>
      </x:c>
      <x:c r="J367" s="18" t="str">
        <x:v>Loans &amp; Auto Finance</x:v>
      </x:c>
      <x:c r="K367" s="18" t="str">
        <x:v>Car loan/payment calculator</x:v>
      </x:c>
      <x:c r="L367" s="18" t="n">
        <x:v>6</x:v>
      </x:c>
      <x:c r="M367" s="18" t="str">
        <x:v>Medium</x:v>
      </x:c>
      <x:c r="N367" s="18" t="str">
        <x:v>High</x:v>
      </x:c>
      <x:c r="O367" s="18" t="str">
        <x:v>Leads / Ads / Affiliate</x:v>
      </x:c>
      <x:c r="P367" s="30" t="n">
        <x:f>MAX(0,100-G367)</x:f>
        <x:v>40</x:v>
      </x:c>
      <x:c r="Q367" s="30" t="n">
        <x:f>MIN(100,ROUND(LOG10(D367+1)*18,0))</x:f>
        <x:v>54</x:v>
      </x:c>
      <x:c r="R367" s="30" t="n">
        <x:f>MIN(100,ROUND(E367*12,0))</x:f>
        <x:v>14</x:v>
      </x:c>
      <x:c r="S367" s="30" t="n">
        <x:f>IF(H367="No",0,ROUND(P367*0.45+Q367*0.30+R367*0.15+IF(M367="Easy",10,IF(M367="Medium",6,2))+IF(N367="High",5,IF(N367="Medium",3,0)),1))</x:f>
        <x:v>47.3</x:v>
      </x:c>
      <x:c r="T367" s="14" t="str">
        <x:f>IF(H367="No","Exclude",IF(S367&gt;=70,"Priority 1",IF(S367&gt;=55,"Priority 2",IF(S367&gt;=40,"Priority 3","Low priority"))))</x:f>
        <x:v>Priority 3</x:v>
      </x:c>
    </x:row>
    <x:row r="368">
      <x:c r="A368" s="14" t="n">
        <x:v>367</x:v>
      </x:c>
      <x:c r="B368" s="18" t="str">
        <x:v>calculator algebra</x:v>
      </x:c>
      <x:c r="C368" s="18" t="str">
        <x:v>informational</x:v>
      </x:c>
      <x:c r="D368" s="26" t="n">
        <x:v>90500</x:v>
      </x:c>
      <x:c r="E368" s="28" t="n">
        <x:v>0.96</x:v>
      </x:c>
      <x:c r="F368" s="14" t="n">
        <x:v>5</x:v>
      </x:c>
      <x:c r="G368" s="14" t="n">
        <x:v>61</x:v>
      </x:c>
      <x:c r="H368" s="14" t="str">
        <x:v>Yes</x:v>
      </x:c>
      <x:c r="I368" s="18" t="str">
        <x:v>Clear calculation, conversion, estimation, or formula intent</x:v>
      </x:c>
      <x:c r="J368" s="18" t="str">
        <x:v>Math &amp; Education</x:v>
      </x:c>
      <x:c r="K368" s="18" t="str">
        <x:v>Algebra calculator</x:v>
      </x:c>
      <x:c r="L368" s="18" t="n">
        <x:v>1</x:v>
      </x:c>
      <x:c r="M368" s="18" t="str">
        <x:v>Easy</x:v>
      </x:c>
      <x:c r="N368" s="18" t="str">
        <x:v>Medium</x:v>
      </x:c>
      <x:c r="O368" s="18" t="str">
        <x:v>Ads / EdTech</x:v>
      </x:c>
      <x:c r="P368" s="30" t="n">
        <x:f>MAX(0,100-G368)</x:f>
        <x:v>39</x:v>
      </x:c>
      <x:c r="Q368" s="30" t="n">
        <x:f>MIN(100,ROUND(LOG10(D368+1)*18,0))</x:f>
        <x:v>89</x:v>
      </x:c>
      <x:c r="R368" s="30" t="n">
        <x:f>MIN(100,ROUND(E368*12,0))</x:f>
        <x:v>12</x:v>
      </x:c>
      <x:c r="S368" s="30" t="n">
        <x:f>IF(H368="No",0,ROUND(P368*0.45+Q368*0.30+R368*0.15+IF(M368="Easy",10,IF(M368="Medium",6,2))+IF(N368="High",5,IF(N368="Medium",3,0)),1))</x:f>
        <x:v>59.1</x:v>
      </x:c>
      <x:c r="T368" s="14" t="str">
        <x:f>IF(H368="No","Exclude",IF(S368&gt;=70,"Priority 1",IF(S368&gt;=55,"Priority 2",IF(S368&gt;=40,"Priority 3","Low priority"))))</x:f>
        <x:v>Priority 2</x:v>
      </x:c>
    </x:row>
    <x:row r="369">
      <x:c r="A369" s="14" t="n">
        <x:v>368</x:v>
      </x:c>
      <x:c r="B369" s="18" t="str">
        <x:v>calculator usps</x:v>
      </x:c>
      <x:c r="C369" s="18" t="str">
        <x:v>navigational</x:v>
      </x:c>
      <x:c r="D369" s="26" t="n">
        <x:v>49500</x:v>
      </x:c>
      <x:c r="E369" s="28" t="n">
        <x:v>0.35</x:v>
      </x:c>
      <x:c r="F369" s="14" t="n">
        <x:v>4</x:v>
      </x:c>
      <x:c r="G369" s="14" t="n">
        <x:v>61</x:v>
      </x:c>
      <x:c r="H369" s="14" t="str">
        <x:v>Yes</x:v>
      </x:c>
      <x:c r="I369" s="18" t="str">
        <x:v>Clear calculation, conversion, estimation, or formula intent</x:v>
      </x:c>
      <x:c r="J369" s="18" t="str">
        <x:v>Government &amp; Benefits</x:v>
      </x:c>
      <x:c r="K369" s="18" t="str">
        <x:v>Usps calculator</x:v>
      </x:c>
      <x:c r="L369" s="18" t="n">
        <x:v>1</x:v>
      </x:c>
      <x:c r="M369" s="18" t="str">
        <x:v>Complex</x:v>
      </x:c>
      <x:c r="N369" s="18" t="str">
        <x:v>High</x:v>
      </x:c>
      <x:c r="O369" s="18" t="str">
        <x:v>Ads</x:v>
      </x:c>
      <x:c r="P369" s="30" t="n">
        <x:f>MAX(0,100-G369)</x:f>
        <x:v>39</x:v>
      </x:c>
      <x:c r="Q369" s="30" t="n">
        <x:f>MIN(100,ROUND(LOG10(D369+1)*18,0))</x:f>
        <x:v>85</x:v>
      </x:c>
      <x:c r="R369" s="30" t="n">
        <x:f>MIN(100,ROUND(E369*12,0))</x:f>
        <x:v>4</x:v>
      </x:c>
      <x:c r="S369" s="30" t="n">
        <x:f>IF(H369="No",0,ROUND(P369*0.45+Q369*0.30+R369*0.15+IF(M369="Easy",10,IF(M369="Medium",6,2))+IF(N369="High",5,IF(N369="Medium",3,0)),1))</x:f>
        <x:v>50.7</x:v>
      </x:c>
      <x:c r="T369" s="14" t="str">
        <x:f>IF(H369="No","Exclude",IF(S369&gt;=70,"Priority 1",IF(S369&gt;=55,"Priority 2",IF(S369&gt;=40,"Priority 3","Low priority"))))</x:f>
        <x:v>Priority 3</x:v>
      </x:c>
    </x:row>
    <x:row r="370">
      <x:c r="A370" s="14" t="n">
        <x:v>369</x:v>
      </x:c>
      <x:c r="B370" s="18" t="str">
        <x:v>calculator overtime</x:v>
      </x:c>
      <x:c r="C370" s="18" t="str">
        <x:v>null</x:v>
      </x:c>
      <x:c r="D370" s="26" t="n">
        <x:v>22200</x:v>
      </x:c>
      <x:c r="E370" s="28" t="n">
        <x:v>6.91</x:v>
      </x:c>
      <x:c r="F370" s="14" t="n">
        <x:v>1</x:v>
      </x:c>
      <x:c r="G370" s="14" t="n">
        <x:v>61</x:v>
      </x:c>
      <x:c r="H370" s="14" t="str">
        <x:v>Yes</x:v>
      </x:c>
      <x:c r="I370" s="18" t="str">
        <x:v>Clear calculation, conversion, estimation, or formula intent</x:v>
      </x:c>
      <x:c r="J370" s="18" t="str">
        <x:v>Salary, Payroll &amp; Tax</x:v>
      </x:c>
      <x:c r="K370" s="18" t="str">
        <x:v>Overtime calculator</x:v>
      </x:c>
      <x:c r="L370" s="18" t="n">
        <x:v>1</x:v>
      </x:c>
      <x:c r="M370" s="18" t="str">
        <x:v>Medium</x:v>
      </x:c>
      <x:c r="N370" s="18" t="str">
        <x:v>High</x:v>
      </x:c>
      <x:c r="O370" s="18" t="str">
        <x:v>Ads / SaaS leads</x:v>
      </x:c>
      <x:c r="P370" s="30" t="n">
        <x:f>MAX(0,100-G370)</x:f>
        <x:v>39</x:v>
      </x:c>
      <x:c r="Q370" s="30" t="n">
        <x:f>MIN(100,ROUND(LOG10(D370+1)*18,0))</x:f>
        <x:v>78</x:v>
      </x:c>
      <x:c r="R370" s="30" t="n">
        <x:f>MIN(100,ROUND(E370*12,0))</x:f>
        <x:v>83</x:v>
      </x:c>
      <x:c r="S370" s="30" t="n">
        <x:f>IF(H370="No",0,ROUND(P370*0.45+Q370*0.30+R370*0.15+IF(M370="Easy",10,IF(M370="Medium",6,2))+IF(N370="High",5,IF(N370="Medium",3,0)),1))</x:f>
        <x:v>64.4</x:v>
      </x:c>
      <x:c r="T370" s="14" t="str">
        <x:f>IF(H370="No","Exclude",IF(S370&gt;=70,"Priority 1",IF(S370&gt;=55,"Priority 2",IF(S370&gt;=40,"Priority 3","Low priority"))))</x:f>
        <x:v>Priority 2</x:v>
      </x:c>
    </x:row>
    <x:row r="371">
      <x:c r="A371" s="14" t="n">
        <x:v>370</x:v>
      </x:c>
      <x:c r="B371" s="18" t="str">
        <x:v>calculator scientific online</x:v>
      </x:c>
      <x:c r="C371" s="18" t="str">
        <x:v>informational, navigational</x:v>
      </x:c>
      <x:c r="D371" s="26" t="n">
        <x:v>5400</x:v>
      </x:c>
      <x:c r="E371" s="28" t="n">
        <x:v>2.99</x:v>
      </x:c>
      <x:c r="F371" s="14" t="n">
        <x:v>1</x:v>
      </x:c>
      <x:c r="G371" s="14" t="n">
        <x:v>61</x:v>
      </x:c>
      <x:c r="H371" s="14" t="str">
        <x:v>Yes</x:v>
      </x:c>
      <x:c r="I371" s="18" t="str">
        <x:v>Clear calculation, conversion, estimation, or formula intent</x:v>
      </x:c>
      <x:c r="J371" s="18" t="str">
        <x:v>Math &amp; Education</x:v>
      </x:c>
      <x:c r="K371" s="18" t="str">
        <x:v>Scientific calculator</x:v>
      </x:c>
      <x:c r="L371" s="18" t="n">
        <x:v>2</x:v>
      </x:c>
      <x:c r="M371" s="18" t="str">
        <x:v>Easy</x:v>
      </x:c>
      <x:c r="N371" s="18" t="str">
        <x:v>Medium</x:v>
      </x:c>
      <x:c r="O371" s="18" t="str">
        <x:v>Ads / EdTech</x:v>
      </x:c>
      <x:c r="P371" s="30" t="n">
        <x:f>MAX(0,100-G371)</x:f>
        <x:v>39</x:v>
      </x:c>
      <x:c r="Q371" s="30" t="n">
        <x:f>MIN(100,ROUND(LOG10(D371+1)*18,0))</x:f>
        <x:v>67</x:v>
      </x:c>
      <x:c r="R371" s="30" t="n">
        <x:f>MIN(100,ROUND(E371*12,0))</x:f>
        <x:v>36</x:v>
      </x:c>
      <x:c r="S371" s="30" t="n">
        <x:f>IF(H371="No",0,ROUND(P371*0.45+Q371*0.30+R371*0.15+IF(M371="Easy",10,IF(M371="Medium",6,2))+IF(N371="High",5,IF(N371="Medium",3,0)),1))</x:f>
        <x:v>56.1</x:v>
      </x:c>
      <x:c r="T371" s="14" t="str">
        <x:f>IF(H371="No","Exclude",IF(S371&gt;=70,"Priority 1",IF(S371&gt;=55,"Priority 2",IF(S371&gt;=40,"Priority 3","Low priority"))))</x:f>
        <x:v>Priority 2</x:v>
      </x:c>
    </x:row>
    <x:row r="372">
      <x:c r="A372" s="14" t="n">
        <x:v>371</x:v>
      </x:c>
      <x:c r="B372" s="18" t="str">
        <x:v>calculator please</x:v>
      </x:c>
      <x:c r="C372" s="18" t="str">
        <x:v>informational</x:v>
      </x:c>
      <x:c r="D372" s="26" t="n">
        <x:v>4400</x:v>
      </x:c>
      <x:c r="E372" s="28" t="n">
        <x:v>1.18</x:v>
      </x:c>
      <x:c r="F372" s="14" t="n">
        <x:v>11</x:v>
      </x:c>
      <x:c r="G372" s="14" t="n">
        <x:v>61</x:v>
      </x:c>
      <x:c r="H372" s="14" t="str">
        <x:v>No</x:v>
      </x:c>
      <x:c r="I372" s="18" t="str">
        <x:v>App/product/brand/navigation/media intent rather than a calculation</x:v>
      </x:c>
      <x:c r="J372" s="18" t="str">
        <x:v>Excluded / Non-calculator</x:v>
      </x:c>
      <x:c r="K372" s="18" t="str"/>
      <x:c r="L372" s="18" t="n">
        <x:v>0</x:v>
      </x:c>
      <x:c r="M372" s="18" t="str"/>
      <x:c r="N372" s="18" t="str"/>
      <x:c r="O372" s="18" t="str"/>
      <x:c r="P372" s="30" t="n">
        <x:f>MAX(0,100-G372)</x:f>
        <x:v>39</x:v>
      </x:c>
      <x:c r="Q372" s="30" t="n">
        <x:f>MIN(100,ROUND(LOG10(D372+1)*18,0))</x:f>
        <x:v>66</x:v>
      </x:c>
      <x:c r="R372" s="30" t="n">
        <x:f>MIN(100,ROUND(E372*12,0))</x:f>
        <x:v>14</x:v>
      </x:c>
      <x:c r="S372" s="30" t="n">
        <x:f>IF(H372="No",0,ROUND(P372*0.45+Q372*0.30+R372*0.15+IF(M372="Easy",10,IF(M372="Medium",6,2))+IF(N372="High",5,IF(N372="Medium",3,0)),1))</x:f>
        <x:v>0</x:v>
      </x:c>
      <x:c r="T372" s="14" t="str">
        <x:f>IF(H372="No","Exclude",IF(S372&gt;=70,"Priority 1",IF(S372&gt;=55,"Priority 2",IF(S372&gt;=40,"Priority 3","Low priority"))))</x:f>
        <x:v>Exclude</x:v>
      </x:c>
    </x:row>
    <x:row r="373">
      <x:c r="A373" s="14" t="n">
        <x:v>372</x:v>
      </x:c>
      <x:c r="B373" s="18" t="str">
        <x:v>calculator.net tdee</x:v>
      </x:c>
      <x:c r="C373" s="18" t="str">
        <x:v>navigational</x:v>
      </x:c>
      <x:c r="D373" s="26" t="n">
        <x:v>1300</x:v>
      </x:c>
      <x:c r="E373" s="28" t="n">
        <x:v>1.26</x:v>
      </x:c>
      <x:c r="F373" s="14" t="n">
        <x:v>15</x:v>
      </x:c>
      <x:c r="G373" s="14" t="n">
        <x:v>61</x:v>
      </x:c>
      <x:c r="H373" s="14" t="str">
        <x:v>Yes</x:v>
      </x:c>
      <x:c r="I373" s="18" t="str">
        <x:v>Clear calculation, conversion, estimation, or formula intent</x:v>
      </x:c>
      <x:c r="J373" s="18" t="str">
        <x:v>Health, Nutrition &amp; Fitness</x:v>
      </x:c>
      <x:c r="K373" s="18" t="str">
        <x:v>.Net Tdee calculator</x:v>
      </x:c>
      <x:c r="L373" s="18" t="n">
        <x:v>1</x:v>
      </x:c>
      <x:c r="M373" s="18" t="str">
        <x:v>Medium</x:v>
      </x:c>
      <x:c r="N373" s="18" t="str">
        <x:v>Medium</x:v>
      </x:c>
      <x:c r="O373" s="18" t="str">
        <x:v>Ads / Affiliate</x:v>
      </x:c>
      <x:c r="P373" s="30" t="n">
        <x:f>MAX(0,100-G373)</x:f>
        <x:v>39</x:v>
      </x:c>
      <x:c r="Q373" s="30" t="n">
        <x:f>MIN(100,ROUND(LOG10(D373+1)*18,0))</x:f>
        <x:v>56</x:v>
      </x:c>
      <x:c r="R373" s="30" t="n">
        <x:f>MIN(100,ROUND(E373*12,0))</x:f>
        <x:v>15</x:v>
      </x:c>
      <x:c r="S373" s="30" t="n">
        <x:f>IF(H373="No",0,ROUND(P373*0.45+Q373*0.30+R373*0.15+IF(M373="Easy",10,IF(M373="Medium",6,2))+IF(N373="High",5,IF(N373="Medium",3,0)),1))</x:f>
        <x:v>45.6</x:v>
      </x:c>
      <x:c r="T373" s="14" t="str">
        <x:f>IF(H373="No","Exclude",IF(S373&gt;=70,"Priority 1",IF(S373&gt;=55,"Priority 2",IF(S373&gt;=40,"Priority 3","Low priority"))))</x:f>
        <x:v>Priority 3</x:v>
      </x:c>
    </x:row>
    <x:row r="374">
      <x:c r="A374" s="14" t="n">
        <x:v>373</x:v>
      </x:c>
      <x:c r="B374" s="18" t="str">
        <x:v>calculator update</x:v>
      </x:c>
      <x:c r="C374" s="18" t="str">
        <x:v>informational</x:v>
      </x:c>
      <x:c r="D374" s="26" t="n">
        <x:v>50</x:v>
      </x:c>
      <x:c r="E374" s="28" t="n">
        <x:v>0</x:v>
      </x:c>
      <x:c r="F374" s="14" t="n">
        <x:v>1</x:v>
      </x:c>
      <x:c r="G374" s="14" t="n">
        <x:v>61</x:v>
      </x:c>
      <x:c r="H374" s="14" t="str">
        <x:v>Yes</x:v>
      </x:c>
      <x:c r="I374" s="18" t="str">
        <x:v>Clear calculation, conversion, estimation, or formula intent</x:v>
      </x:c>
      <x:c r="J374" s="18" t="str">
        <x:v>Date &amp; Time</x:v>
      </x:c>
      <x:c r="K374" s="18" t="str">
        <x:v>Date calculator</x:v>
      </x:c>
      <x:c r="L374" s="18" t="n">
        <x:v>9</x:v>
      </x:c>
      <x:c r="M374" s="18" t="str">
        <x:v>Easy</x:v>
      </x:c>
      <x:c r="N374" s="18" t="str">
        <x:v>Medium</x:v>
      </x:c>
      <x:c r="O374" s="18" t="str">
        <x:v>Ads</x:v>
      </x:c>
      <x:c r="P374" s="30" t="n">
        <x:f>MAX(0,100-G374)</x:f>
        <x:v>39</x:v>
      </x:c>
      <x:c r="Q374" s="30" t="n">
        <x:f>MIN(100,ROUND(LOG10(D374+1)*18,0))</x:f>
        <x:v>31</x:v>
      </x:c>
      <x:c r="R374" s="30" t="n">
        <x:f>MIN(100,ROUND(E374*12,0))</x:f>
        <x:v>0</x:v>
      </x:c>
      <x:c r="S374" s="30" t="n">
        <x:f>IF(H374="No",0,ROUND(P374*0.45+Q374*0.30+R374*0.15+IF(M374="Easy",10,IF(M374="Medium",6,2))+IF(N374="High",5,IF(N374="Medium",3,0)),1))</x:f>
        <x:v>39.9</x:v>
      </x:c>
      <x:c r="T374" s="14" t="str">
        <x:f>IF(H374="No","Exclude",IF(S374&gt;=70,"Priority 1",IF(S374&gt;=55,"Priority 2",IF(S374&gt;=40,"Priority 3","Low priority"))))</x:f>
        <x:v>Low priority</x:v>
      </x:c>
    </x:row>
    <x:row r="375">
      <x:c r="A375" s="14" t="n">
        <x:v>374</x:v>
      </x:c>
      <x:c r="B375" s="18" t="str">
        <x:v>calculator refinance</x:v>
      </x:c>
      <x:c r="C375" s="18" t="str">
        <x:v>navigational, commercial</x:v>
      </x:c>
      <x:c r="D375" s="26" t="n">
        <x:v>49500</x:v>
      </x:c>
      <x:c r="E375" s="28" t="n">
        <x:v>6.02</x:v>
      </x:c>
      <x:c r="F375" s="14" t="n">
        <x:v>67</x:v>
      </x:c>
      <x:c r="G375" s="14" t="n">
        <x:v>62</x:v>
      </x:c>
      <x:c r="H375" s="14" t="str">
        <x:v>Yes</x:v>
      </x:c>
      <x:c r="I375" s="18" t="str">
        <x:v>Clear calculation, conversion, estimation, or formula intent</x:v>
      </x:c>
      <x:c r="J375" s="18" t="str">
        <x:v>Mortgage &amp; Real Estate</x:v>
      </x:c>
      <x:c r="K375" s="18" t="str">
        <x:v>Refinance calculator</x:v>
      </x:c>
      <x:c r="L375" s="18" t="n">
        <x:v>1</x:v>
      </x:c>
      <x:c r="M375" s="18" t="str">
        <x:v>Complex</x:v>
      </x:c>
      <x:c r="N375" s="18" t="str">
        <x:v>High</x:v>
      </x:c>
      <x:c r="O375" s="18" t="str">
        <x:v>Leads / Ads / Affiliate</x:v>
      </x:c>
      <x:c r="P375" s="30" t="n">
        <x:f>MAX(0,100-G375)</x:f>
        <x:v>38</x:v>
      </x:c>
      <x:c r="Q375" s="30" t="n">
        <x:f>MIN(100,ROUND(LOG10(D375+1)*18,0))</x:f>
        <x:v>85</x:v>
      </x:c>
      <x:c r="R375" s="30" t="n">
        <x:f>MIN(100,ROUND(E375*12,0))</x:f>
        <x:v>72</x:v>
      </x:c>
      <x:c r="S375" s="30" t="n">
        <x:f>IF(H375="No",0,ROUND(P375*0.45+Q375*0.30+R375*0.15+IF(M375="Easy",10,IF(M375="Medium",6,2))+IF(N375="High",5,IF(N375="Medium",3,0)),1))</x:f>
        <x:v>60.4</x:v>
      </x:c>
      <x:c r="T375" s="14" t="str">
        <x:f>IF(H375="No","Exclude",IF(S375&gt;=70,"Priority 1",IF(S375&gt;=55,"Priority 2",IF(S375&gt;=40,"Priority 3","Low priority"))))</x:f>
        <x:v>Priority 2</x:v>
      </x:c>
    </x:row>
    <x:row r="376">
      <x:c r="A376" s="14" t="n">
        <x:v>375</x:v>
      </x:c>
      <x:c r="B376" s="18" t="str">
        <x:v>calculator calculator</x:v>
      </x:c>
      <x:c r="C376" s="18" t="str">
        <x:v>informational</x:v>
      </x:c>
      <x:c r="D376" s="26" t="n">
        <x:v>14800</x:v>
      </x:c>
      <x:c r="E376" s="28" t="n">
        <x:v>1.71</x:v>
      </x:c>
      <x:c r="F376" s="14" t="n">
        <x:v>2</x:v>
      </x:c>
      <x:c r="G376" s="14" t="n">
        <x:v>62</x:v>
      </x:c>
      <x:c r="H376" s="14" t="str">
        <x:v>No</x:v>
      </x:c>
      <x:c r="I376" s="18" t="str">
        <x:v>App/product/brand/navigation/media intent rather than a calculation</x:v>
      </x:c>
      <x:c r="J376" s="18" t="str">
        <x:v>Excluded / Non-calculator</x:v>
      </x:c>
      <x:c r="K376" s="18" t="str"/>
      <x:c r="L376" s="18" t="n">
        <x:v>0</x:v>
      </x:c>
      <x:c r="M376" s="18" t="str"/>
      <x:c r="N376" s="18" t="str"/>
      <x:c r="O376" s="18" t="str"/>
      <x:c r="P376" s="30" t="n">
        <x:f>MAX(0,100-G376)</x:f>
        <x:v>38</x:v>
      </x:c>
      <x:c r="Q376" s="30" t="n">
        <x:f>MIN(100,ROUND(LOG10(D376+1)*18,0))</x:f>
        <x:v>75</x:v>
      </x:c>
      <x:c r="R376" s="30" t="n">
        <x:f>MIN(100,ROUND(E376*12,0))</x:f>
        <x:v>21</x:v>
      </x:c>
      <x:c r="S376" s="30" t="n">
        <x:f>IF(H376="No",0,ROUND(P376*0.45+Q376*0.30+R376*0.15+IF(M376="Easy",10,IF(M376="Medium",6,2))+IF(N376="High",5,IF(N376="Medium",3,0)),1))</x:f>
        <x:v>0</x:v>
      </x:c>
      <x:c r="T376" s="14" t="str">
        <x:f>IF(H376="No","Exclude",IF(S376&gt;=70,"Priority 1",IF(S376&gt;=55,"Priority 2",IF(S376&gt;=40,"Priority 3","Low priority"))))</x:f>
        <x:v>Exclude</x:v>
      </x:c>
    </x:row>
    <x:row r="377">
      <x:c r="A377" s="14" t="n">
        <x:v>376</x:v>
      </x:c>
      <x:c r="B377" s="18" t="str">
        <x:v>calculator online free full screen</x:v>
      </x:c>
      <x:c r="C377" s="18" t="str">
        <x:v>informational</x:v>
      </x:c>
      <x:c r="D377" s="26" t="n">
        <x:v>1000</x:v>
      </x:c>
      <x:c r="E377" s="28" t="n">
        <x:v>1.65</x:v>
      </x:c>
      <x:c r="F377" s="14" t="n">
        <x:v>1</x:v>
      </x:c>
      <x:c r="G377" s="14" t="n">
        <x:v>62</x:v>
      </x:c>
      <x:c r="H377" s="14" t="str">
        <x:v>No</x:v>
      </x:c>
      <x:c r="I377" s="18" t="str">
        <x:v>App/product/brand/navigation/media intent rather than a calculation</x:v>
      </x:c>
      <x:c r="J377" s="18" t="str">
        <x:v>Excluded / Non-calculator</x:v>
      </x:c>
      <x:c r="K377" s="18" t="str"/>
      <x:c r="L377" s="18" t="n">
        <x:v>0</x:v>
      </x:c>
      <x:c r="M377" s="18" t="str"/>
      <x:c r="N377" s="18" t="str"/>
      <x:c r="O377" s="18" t="str"/>
      <x:c r="P377" s="30" t="n">
        <x:f>MAX(0,100-G377)</x:f>
        <x:v>38</x:v>
      </x:c>
      <x:c r="Q377" s="30" t="n">
        <x:f>MIN(100,ROUND(LOG10(D377+1)*18,0))</x:f>
        <x:v>54</x:v>
      </x:c>
      <x:c r="R377" s="30" t="n">
        <x:f>MIN(100,ROUND(E377*12,0))</x:f>
        <x:v>20</x:v>
      </x:c>
      <x:c r="S377" s="30" t="n">
        <x:f>IF(H377="No",0,ROUND(P377*0.45+Q377*0.30+R377*0.15+IF(M377="Easy",10,IF(M377="Medium",6,2))+IF(N377="High",5,IF(N377="Medium",3,0)),1))</x:f>
        <x:v>0</x:v>
      </x:c>
      <x:c r="T377" s="14" t="str">
        <x:f>IF(H377="No","Exclude",IF(S377&gt;=70,"Priority 1",IF(S377&gt;=55,"Priority 2",IF(S377&gt;=40,"Priority 3","Low priority"))))</x:f>
        <x:v>Exclude</x:v>
      </x:c>
    </x:row>
    <x:row r="378">
      <x:c r="A378" s="14" t="n">
        <x:v>377</x:v>
      </x:c>
      <x:c r="B378" s="18" t="str">
        <x:v>calculator bmr</x:v>
      </x:c>
      <x:c r="C378" s="18" t="str">
        <x:v>navigational, informational</x:v>
      </x:c>
      <x:c r="D378" s="26" t="n">
        <x:v>480</x:v>
      </x:c>
      <x:c r="E378" s="28" t="n">
        <x:v>1.01</x:v>
      </x:c>
      <x:c r="F378" s="14" t="n">
        <x:v>9</x:v>
      </x:c>
      <x:c r="G378" s="14" t="n">
        <x:v>62</x:v>
      </x:c>
      <x:c r="H378" s="14" t="str">
        <x:v>Yes</x:v>
      </x:c>
      <x:c r="I378" s="18" t="str">
        <x:v>Clear calculation, conversion, estimation, or formula intent</x:v>
      </x:c>
      <x:c r="J378" s="18" t="str">
        <x:v>Health, Nutrition &amp; Fitness</x:v>
      </x:c>
      <x:c r="K378" s="18" t="str">
        <x:v>Bmr calculator</x:v>
      </x:c>
      <x:c r="L378" s="18" t="n">
        <x:v>1</x:v>
      </x:c>
      <x:c r="M378" s="18" t="str">
        <x:v>Medium</x:v>
      </x:c>
      <x:c r="N378" s="18" t="str">
        <x:v>Medium</x:v>
      </x:c>
      <x:c r="O378" s="18" t="str">
        <x:v>Ads / Affiliate</x:v>
      </x:c>
      <x:c r="P378" s="30" t="n">
        <x:f>MAX(0,100-G378)</x:f>
        <x:v>38</x:v>
      </x:c>
      <x:c r="Q378" s="30" t="n">
        <x:f>MIN(100,ROUND(LOG10(D378+1)*18,0))</x:f>
        <x:v>48</x:v>
      </x:c>
      <x:c r="R378" s="30" t="n">
        <x:f>MIN(100,ROUND(E378*12,0))</x:f>
        <x:v>12</x:v>
      </x:c>
      <x:c r="S378" s="30" t="n">
        <x:f>IF(H378="No",0,ROUND(P378*0.45+Q378*0.30+R378*0.15+IF(M378="Easy",10,IF(M378="Medium",6,2))+IF(N378="High",5,IF(N378="Medium",3,0)),1))</x:f>
        <x:v>42.3</x:v>
      </x:c>
      <x:c r="T378" s="14" t="str">
        <x:f>IF(H378="No","Exclude",IF(S378&gt;=70,"Priority 1",IF(S378&gt;=55,"Priority 2",IF(S378&gt;=40,"Priority 3","Low priority"))))</x:f>
        <x:v>Priority 3</x:v>
      </x:c>
    </x:row>
    <x:row r="379">
      <x:c r="A379" s="14" t="n">
        <x:v>378</x:v>
      </x:c>
      <x:c r="B379" s="18" t="str">
        <x:v>calculator number words</x:v>
      </x:c>
      <x:c r="C379" s="18" t="str">
        <x:v>informational</x:v>
      </x:c>
      <x:c r="D379" s="26" t="n">
        <x:v>50</x:v>
      </x:c>
      <x:c r="E379" s="28" t="n">
        <x:v>0</x:v>
      </x:c>
      <x:c r="F379" s="14" t="n">
        <x:v>1</x:v>
      </x:c>
      <x:c r="G379" s="14" t="n">
        <x:v>62</x:v>
      </x:c>
      <x:c r="H379" s="14" t="str">
        <x:v>No</x:v>
      </x:c>
      <x:c r="I379" s="18" t="str">
        <x:v>App/product/brand/navigation/media intent rather than a calculation</x:v>
      </x:c>
      <x:c r="J379" s="18" t="str">
        <x:v>Excluded / Non-calculator</x:v>
      </x:c>
      <x:c r="K379" s="18" t="str"/>
      <x:c r="L379" s="18" t="n">
        <x:v>0</x:v>
      </x:c>
      <x:c r="M379" s="18" t="str"/>
      <x:c r="N379" s="18" t="str"/>
      <x:c r="O379" s="18" t="str"/>
      <x:c r="P379" s="30" t="n">
        <x:f>MAX(0,100-G379)</x:f>
        <x:v>38</x:v>
      </x:c>
      <x:c r="Q379" s="30" t="n">
        <x:f>MIN(100,ROUND(LOG10(D379+1)*18,0))</x:f>
        <x:v>31</x:v>
      </x:c>
      <x:c r="R379" s="30" t="n">
        <x:f>MIN(100,ROUND(E379*12,0))</x:f>
        <x:v>0</x:v>
      </x:c>
      <x:c r="S379" s="30" t="n">
        <x:f>IF(H379="No",0,ROUND(P379*0.45+Q379*0.30+R379*0.15+IF(M379="Easy",10,IF(M379="Medium",6,2))+IF(N379="High",5,IF(N379="Medium",3,0)),1))</x:f>
        <x:v>0</x:v>
      </x:c>
      <x:c r="T379" s="14" t="str">
        <x:f>IF(H379="No","Exclude",IF(S379&gt;=70,"Priority 1",IF(S379&gt;=55,"Priority 2",IF(S379&gt;=40,"Priority 3","Low priority"))))</x:f>
        <x:v>Exclude</x:v>
      </x:c>
    </x:row>
    <x:row r="380">
      <x:c r="A380" s="14" t="n">
        <x:v>379</x:v>
      </x:c>
      <x:c r="B380" s="18" t="str">
        <x:v>calculator 401k</x:v>
      </x:c>
      <x:c r="C380" s="18" t="str">
        <x:v>navigational</x:v>
      </x:c>
      <x:c r="D380" s="26" t="n">
        <x:v>165000</x:v>
      </x:c>
      <x:c r="E380" s="28" t="n">
        <x:v>0.84</x:v>
      </x:c>
      <x:c r="F380" s="14" t="n">
        <x:v>9</x:v>
      </x:c>
      <x:c r="G380" s="14" t="n">
        <x:v>63</x:v>
      </x:c>
      <x:c r="H380" s="14" t="str">
        <x:v>Yes</x:v>
      </x:c>
      <x:c r="I380" s="18" t="str">
        <x:v>Clear calculation, conversion, estimation, or formula intent</x:v>
      </x:c>
      <x:c r="J380" s="18" t="str">
        <x:v>Personal Finance &amp; Investing</x:v>
      </x:c>
      <x:c r="K380" s="18" t="str">
        <x:v>401K calculator</x:v>
      </x:c>
      <x:c r="L380" s="18" t="n">
        <x:v>1</x:v>
      </x:c>
      <x:c r="M380" s="18" t="str">
        <x:v>Medium</x:v>
      </x:c>
      <x:c r="N380" s="18" t="str">
        <x:v>High</x:v>
      </x:c>
      <x:c r="O380" s="18" t="str">
        <x:v>Ads / Leads / Affiliate</x:v>
      </x:c>
      <x:c r="P380" s="30" t="n">
        <x:f>MAX(0,100-G380)</x:f>
        <x:v>37</x:v>
      </x:c>
      <x:c r="Q380" s="30" t="n">
        <x:f>MIN(100,ROUND(LOG10(D380+1)*18,0))</x:f>
        <x:v>94</x:v>
      </x:c>
      <x:c r="R380" s="30" t="n">
        <x:f>MIN(100,ROUND(E380*12,0))</x:f>
        <x:v>10</x:v>
      </x:c>
      <x:c r="S380" s="30" t="n">
        <x:f>IF(H380="No",0,ROUND(P380*0.45+Q380*0.30+R380*0.15+IF(M380="Easy",10,IF(M380="Medium",6,2))+IF(N380="High",5,IF(N380="Medium",3,0)),1))</x:f>
        <x:v>57.4</x:v>
      </x:c>
      <x:c r="T380" s="14" t="str">
        <x:f>IF(H380="No","Exclude",IF(S380&gt;=70,"Priority 1",IF(S380&gt;=55,"Priority 2",IF(S380&gt;=40,"Priority 3","Low priority"))))</x:f>
        <x:v>Priority 2</x:v>
      </x:c>
    </x:row>
    <x:row r="381">
      <x:c r="A381" s="14" t="n">
        <x:v>380</x:v>
      </x:c>
      <x:c r="B381" s="18" t="str">
        <x:v>calculator use</x:v>
      </x:c>
      <x:c r="C381" s="18" t="str">
        <x:v>informational</x:v>
      </x:c>
      <x:c r="D381" s="26" t="n">
        <x:v>170</x:v>
      </x:c>
      <x:c r="E381" s="28" t="n">
        <x:v>1.17</x:v>
      </x:c>
      <x:c r="F381" s="14" t="n">
        <x:v>7</x:v>
      </x:c>
      <x:c r="G381" s="14" t="n">
        <x:v>63</x:v>
      </x:c>
      <x:c r="H381" s="14" t="str">
        <x:v>No</x:v>
      </x:c>
      <x:c r="I381" s="18" t="str">
        <x:v>App/product/brand/navigation/media intent rather than a calculation</x:v>
      </x:c>
      <x:c r="J381" s="18" t="str">
        <x:v>Excluded / Non-calculator</x:v>
      </x:c>
      <x:c r="K381" s="18" t="str"/>
      <x:c r="L381" s="18" t="n">
        <x:v>0</x:v>
      </x:c>
      <x:c r="M381" s="18" t="str"/>
      <x:c r="N381" s="18" t="str"/>
      <x:c r="O381" s="18" t="str"/>
      <x:c r="P381" s="30" t="n">
        <x:f>MAX(0,100-G381)</x:f>
        <x:v>37</x:v>
      </x:c>
      <x:c r="Q381" s="30" t="n">
        <x:f>MIN(100,ROUND(LOG10(D381+1)*18,0))</x:f>
        <x:v>40</x:v>
      </x:c>
      <x:c r="R381" s="30" t="n">
        <x:f>MIN(100,ROUND(E381*12,0))</x:f>
        <x:v>14</x:v>
      </x:c>
      <x:c r="S381" s="30" t="n">
        <x:f>IF(H381="No",0,ROUND(P381*0.45+Q381*0.30+R381*0.15+IF(M381="Easy",10,IF(M381="Medium",6,2))+IF(N381="High",5,IF(N381="Medium",3,0)),1))</x:f>
        <x:v>0</x:v>
      </x:c>
      <x:c r="T381" s="14" t="str">
        <x:f>IF(H381="No","Exclude",IF(S381&gt;=70,"Priority 1",IF(S381&gt;=55,"Priority 2",IF(S381&gt;=40,"Priority 3","Low priority"))))</x:f>
        <x:v>Exclude</x:v>
      </x:c>
    </x:row>
    <x:row r="382">
      <x:c r="A382" s="14" t="n">
        <x:v>381</x:v>
      </x:c>
      <x:c r="B382" s="18" t="str">
        <x:v>calculator paycheck</x:v>
      </x:c>
      <x:c r="C382" s="18" t="str">
        <x:v>navigational, informational</x:v>
      </x:c>
      <x:c r="D382" s="26" t="n">
        <x:v>8100</x:v>
      </x:c>
      <x:c r="E382" s="28" t="n">
        <x:v>12.42</x:v>
      </x:c>
      <x:c r="F382" s="14" t="n">
        <x:v>8</x:v>
      </x:c>
      <x:c r="G382" s="14" t="n">
        <x:v>64</x:v>
      </x:c>
      <x:c r="H382" s="14" t="str">
        <x:v>Yes</x:v>
      </x:c>
      <x:c r="I382" s="18" t="str">
        <x:v>Clear calculation, conversion, estimation, or formula intent</x:v>
      </x:c>
      <x:c r="J382" s="18" t="str">
        <x:v>Salary, Payroll &amp; Tax</x:v>
      </x:c>
      <x:c r="K382" s="18" t="str">
        <x:v>Paycheck calculator</x:v>
      </x:c>
      <x:c r="L382" s="18" t="n">
        <x:v>1</x:v>
      </x:c>
      <x:c r="M382" s="18" t="str">
        <x:v>Complex</x:v>
      </x:c>
      <x:c r="N382" s="18" t="str">
        <x:v>High</x:v>
      </x:c>
      <x:c r="O382" s="18" t="str">
        <x:v>Ads / SaaS leads</x:v>
      </x:c>
      <x:c r="P382" s="30" t="n">
        <x:f>MAX(0,100-G382)</x:f>
        <x:v>36</x:v>
      </x:c>
      <x:c r="Q382" s="30" t="n">
        <x:f>MIN(100,ROUND(LOG10(D382+1)*18,0))</x:f>
        <x:v>70</x:v>
      </x:c>
      <x:c r="R382" s="30" t="n">
        <x:f>MIN(100,ROUND(E382*12,0))</x:f>
        <x:v>100</x:v>
      </x:c>
      <x:c r="S382" s="30" t="n">
        <x:f>IF(H382="No",0,ROUND(P382*0.45+Q382*0.30+R382*0.15+IF(M382="Easy",10,IF(M382="Medium",6,2))+IF(N382="High",5,IF(N382="Medium",3,0)),1))</x:f>
        <x:v>59.2</x:v>
      </x:c>
      <x:c r="T382" s="14" t="str">
        <x:f>IF(H382="No","Exclude",IF(S382&gt;=70,"Priority 1",IF(S382&gt;=55,"Priority 2",IF(S382&gt;=40,"Priority 3","Low priority"))))</x:f>
        <x:v>Priority 2</x:v>
      </x:c>
    </x:row>
    <x:row r="383">
      <x:c r="A383" s="14" t="n">
        <x:v>382</x:v>
      </x:c>
      <x:c r="B383" s="18" t="str">
        <x:v>calculator that shows work</x:v>
      </x:c>
      <x:c r="C383" s="18" t="str">
        <x:v>informational</x:v>
      </x:c>
      <x:c r="D383" s="26" t="n">
        <x:v>1300</x:v>
      </x:c>
      <x:c r="E383" s="28" t="n">
        <x:v>1.48</x:v>
      </x:c>
      <x:c r="F383" s="14" t="n">
        <x:v>27</x:v>
      </x:c>
      <x:c r="G383" s="14" t="n">
        <x:v>64</x:v>
      </x:c>
      <x:c r="H383" s="14" t="str">
        <x:v>Maybe</x:v>
      </x:c>
      <x:c r="I383" s="18" t="str">
        <x:v>Insufficiently specific; requires SERP validation before development</x:v>
      </x:c>
      <x:c r="J383" s="18" t="str">
        <x:v>General / Other</x:v>
      </x:c>
      <x:c r="K383" s="18" t="str">
        <x:v>That Shows Work calculator</x:v>
      </x:c>
      <x:c r="L383" s="18" t="n">
        <x:v>1</x:v>
      </x:c>
      <x:c r="M383" s="18" t="str">
        <x:v>Easy</x:v>
      </x:c>
      <x:c r="N383" s="18" t="str">
        <x:v>Medium</x:v>
      </x:c>
      <x:c r="O383" s="18" t="str">
        <x:v>Ads</x:v>
      </x:c>
      <x:c r="P383" s="30" t="n">
        <x:f>MAX(0,100-G383)</x:f>
        <x:v>36</x:v>
      </x:c>
      <x:c r="Q383" s="30" t="n">
        <x:f>MIN(100,ROUND(LOG10(D383+1)*18,0))</x:f>
        <x:v>56</x:v>
      </x:c>
      <x:c r="R383" s="30" t="n">
        <x:f>MIN(100,ROUND(E383*12,0))</x:f>
        <x:v>18</x:v>
      </x:c>
      <x:c r="S383" s="30" t="n">
        <x:f>IF(H383="No",0,ROUND(P383*0.45+Q383*0.30+R383*0.15+IF(M383="Easy",10,IF(M383="Medium",6,2))+IF(N383="High",5,IF(N383="Medium",3,0)),1))</x:f>
        <x:v>48.7</x:v>
      </x:c>
      <x:c r="T383" s="14" t="str">
        <x:f>IF(H383="No","Exclude",IF(S383&gt;=70,"Priority 1",IF(S383&gt;=55,"Priority 2",IF(S383&gt;=40,"Priority 3","Low priority"))))</x:f>
        <x:v>Priority 3</x:v>
      </x:c>
    </x:row>
    <x:row r="384">
      <x:c r="A384" s="14" t="n">
        <x:v>383</x:v>
      </x:c>
      <x:c r="B384" s="18" t="str">
        <x:v>calculator compound interest</x:v>
      </x:c>
      <x:c r="C384" s="18" t="str">
        <x:v>informational</x:v>
      </x:c>
      <x:c r="D384" s="26" t="n">
        <x:v>673000</x:v>
      </x:c>
      <x:c r="E384" s="28" t="n">
        <x:v>2.16</x:v>
      </x:c>
      <x:c r="F384" s="14" t="n">
        <x:v>7</x:v>
      </x:c>
      <x:c r="G384" s="14" t="n">
        <x:v>65</x:v>
      </x:c>
      <x:c r="H384" s="14" t="str">
        <x:v>Yes</x:v>
      </x:c>
      <x:c r="I384" s="18" t="str">
        <x:v>Clear calculation, conversion, estimation, or formula intent</x:v>
      </x:c>
      <x:c r="J384" s="18" t="str">
        <x:v>Personal Finance &amp; Investing</x:v>
      </x:c>
      <x:c r="K384" s="18" t="str">
        <x:v>Compound Interest calculator</x:v>
      </x:c>
      <x:c r="L384" s="18" t="n">
        <x:v>1</x:v>
      </x:c>
      <x:c r="M384" s="18" t="str">
        <x:v>Easy</x:v>
      </x:c>
      <x:c r="N384" s="18" t="str">
        <x:v>High</x:v>
      </x:c>
      <x:c r="O384" s="18" t="str">
        <x:v>Ads / Leads / Affiliate</x:v>
      </x:c>
      <x:c r="P384" s="30" t="n">
        <x:f>MAX(0,100-G384)</x:f>
        <x:v>35</x:v>
      </x:c>
      <x:c r="Q384" s="30" t="n">
        <x:f>MIN(100,ROUND(LOG10(D384+1)*18,0))</x:f>
        <x:v>100</x:v>
      </x:c>
      <x:c r="R384" s="30" t="n">
        <x:f>MIN(100,ROUND(E384*12,0))</x:f>
        <x:v>26</x:v>
      </x:c>
      <x:c r="S384" s="30" t="n">
        <x:f>IF(H384="No",0,ROUND(P384*0.45+Q384*0.30+R384*0.15+IF(M384="Easy",10,IF(M384="Medium",6,2))+IF(N384="High",5,IF(N384="Medium",3,0)),1))</x:f>
        <x:v>64.7</x:v>
      </x:c>
      <x:c r="T384" s="14" t="str">
        <x:f>IF(H384="No","Exclude",IF(S384&gt;=70,"Priority 1",IF(S384&gt;=55,"Priority 2",IF(S384&gt;=40,"Priority 3","Low priority"))))</x:f>
        <x:v>Priority 2</x:v>
      </x:c>
    </x:row>
    <x:row r="385">
      <x:c r="A385" s="14" t="n">
        <x:v>384</x:v>
      </x:c>
      <x:c r="B385" s="18" t="str">
        <x:v>calculator google free online</x:v>
      </x:c>
      <x:c r="C385" s="18" t="str">
        <x:v>informational</x:v>
      </x:c>
      <x:c r="D385" s="26" t="n">
        <x:v>110</x:v>
      </x:c>
      <x:c r="E385" s="28" t="n">
        <x:v>0</x:v>
      </x:c>
      <x:c r="F385" s="14" t="n">
        <x:v>1</x:v>
      </x:c>
      <x:c r="G385" s="14" t="n">
        <x:v>65</x:v>
      </x:c>
      <x:c r="H385" s="14" t="str">
        <x:v>No</x:v>
      </x:c>
      <x:c r="I385" s="18" t="str">
        <x:v>App/product/brand/navigation/media intent rather than a calculation</x:v>
      </x:c>
      <x:c r="J385" s="18" t="str">
        <x:v>Excluded / Non-calculator</x:v>
      </x:c>
      <x:c r="K385" s="18" t="str"/>
      <x:c r="L385" s="18" t="n">
        <x:v>0</x:v>
      </x:c>
      <x:c r="M385" s="18" t="str"/>
      <x:c r="N385" s="18" t="str"/>
      <x:c r="O385" s="18" t="str"/>
      <x:c r="P385" s="30" t="n">
        <x:f>MAX(0,100-G385)</x:f>
        <x:v>35</x:v>
      </x:c>
      <x:c r="Q385" s="30" t="n">
        <x:f>MIN(100,ROUND(LOG10(D385+1)*18,0))</x:f>
        <x:v>37</x:v>
      </x:c>
      <x:c r="R385" s="30" t="n">
        <x:f>MIN(100,ROUND(E385*12,0))</x:f>
        <x:v>0</x:v>
      </x:c>
      <x:c r="S385" s="30" t="n">
        <x:f>IF(H385="No",0,ROUND(P385*0.45+Q385*0.30+R385*0.15+IF(M385="Easy",10,IF(M385="Medium",6,2))+IF(N385="High",5,IF(N385="Medium",3,0)),1))</x:f>
        <x:v>0</x:v>
      </x:c>
      <x:c r="T385" s="14" t="str">
        <x:f>IF(H385="No","Exclude",IF(S385&gt;=70,"Priority 1",IF(S385&gt;=55,"Priority 2",IF(S385&gt;=40,"Priority 3","Low priority"))))</x:f>
        <x:v>Exclude</x:v>
      </x:c>
    </x:row>
    <x:row r="386">
      <x:c r="A386" s="14" t="n">
        <x:v>385</x:v>
      </x:c>
      <x:c r="B386" s="18" t="str">
        <x:v>calculator 401k growth</x:v>
      </x:c>
      <x:c r="C386" s="18" t="str">
        <x:v>informational, navigational</x:v>
      </x:c>
      <x:c r="D386" s="26" t="n">
        <x:v>6600</x:v>
      </x:c>
      <x:c r="E386" s="28" t="n">
        <x:v>1.21</x:v>
      </x:c>
      <x:c r="F386" s="14" t="n">
        <x:v>22</x:v>
      </x:c>
      <x:c r="G386" s="14" t="n">
        <x:v>66</x:v>
      </x:c>
      <x:c r="H386" s="14" t="str">
        <x:v>Yes</x:v>
      </x:c>
      <x:c r="I386" s="18" t="str">
        <x:v>Clear calculation, conversion, estimation, or formula intent</x:v>
      </x:c>
      <x:c r="J386" s="18" t="str">
        <x:v>Personal Finance &amp; Investing</x:v>
      </x:c>
      <x:c r="K386" s="18" t="str">
        <x:v>401K Growth calculator</x:v>
      </x:c>
      <x:c r="L386" s="18" t="n">
        <x:v>1</x:v>
      </x:c>
      <x:c r="M386" s="18" t="str">
        <x:v>Medium</x:v>
      </x:c>
      <x:c r="N386" s="18" t="str">
        <x:v>High</x:v>
      </x:c>
      <x:c r="O386" s="18" t="str">
        <x:v>Ads / Leads / Affiliate</x:v>
      </x:c>
      <x:c r="P386" s="30" t="n">
        <x:f>MAX(0,100-G386)</x:f>
        <x:v>34</x:v>
      </x:c>
      <x:c r="Q386" s="30" t="n">
        <x:f>MIN(100,ROUND(LOG10(D386+1)*18,0))</x:f>
        <x:v>69</x:v>
      </x:c>
      <x:c r="R386" s="30" t="n">
        <x:f>MIN(100,ROUND(E386*12,0))</x:f>
        <x:v>15</x:v>
      </x:c>
      <x:c r="S386" s="30" t="n">
        <x:f>IF(H386="No",0,ROUND(P386*0.45+Q386*0.30+R386*0.15+IF(M386="Easy",10,IF(M386="Medium",6,2))+IF(N386="High",5,IF(N386="Medium",3,0)),1))</x:f>
        <x:v>49.3</x:v>
      </x:c>
      <x:c r="T386" s="14" t="str">
        <x:f>IF(H386="No","Exclude",IF(S386&gt;=70,"Priority 1",IF(S386&gt;=55,"Priority 2",IF(S386&gt;=40,"Priority 3","Low priority"))))</x:f>
        <x:v>Priority 3</x:v>
      </x:c>
    </x:row>
    <x:row r="387">
      <x:c r="A387" s="14" t="n">
        <x:v>386</x:v>
      </x:c>
      <x:c r="B387" s="18" t="str">
        <x:v>calculator net calories</x:v>
      </x:c>
      <x:c r="C387" s="18" t="str">
        <x:v>null</x:v>
      </x:c>
      <x:c r="D387" s="26" t="n">
        <x:v>2900</x:v>
      </x:c>
      <x:c r="E387" s="28" t="n">
        <x:v>1.28</x:v>
      </x:c>
      <x:c r="F387" s="14" t="n">
        <x:v>4</x:v>
      </x:c>
      <x:c r="G387" s="14" t="n">
        <x:v>66</x:v>
      </x:c>
      <x:c r="H387" s="14" t="str">
        <x:v>Yes</x:v>
      </x:c>
      <x:c r="I387" s="18" t="str">
        <x:v>Clear calculation, conversion, estimation, or formula intent</x:v>
      </x:c>
      <x:c r="J387" s="18" t="str">
        <x:v>Health, Nutrition &amp; Fitness</x:v>
      </x:c>
      <x:c r="K387" s="18" t="str">
        <x:v>Calorie calculator</x:v>
      </x:c>
      <x:c r="L387" s="18" t="n">
        <x:v>3</x:v>
      </x:c>
      <x:c r="M387" s="18" t="str">
        <x:v>Easy</x:v>
      </x:c>
      <x:c r="N387" s="18" t="str">
        <x:v>Medium</x:v>
      </x:c>
      <x:c r="O387" s="18" t="str">
        <x:v>Ads / Affiliate</x:v>
      </x:c>
      <x:c r="P387" s="30" t="n">
        <x:f>MAX(0,100-G387)</x:f>
        <x:v>34</x:v>
      </x:c>
      <x:c r="Q387" s="30" t="n">
        <x:f>MIN(100,ROUND(LOG10(D387+1)*18,0))</x:f>
        <x:v>62</x:v>
      </x:c>
      <x:c r="R387" s="30" t="n">
        <x:f>MIN(100,ROUND(E387*12,0))</x:f>
        <x:v>15</x:v>
      </x:c>
      <x:c r="S387" s="30" t="n">
        <x:f>IF(H387="No",0,ROUND(P387*0.45+Q387*0.30+R387*0.15+IF(M387="Easy",10,IF(M387="Medium",6,2))+IF(N387="High",5,IF(N387="Medium",3,0)),1))</x:f>
        <x:v>49.2</x:v>
      </x:c>
      <x:c r="T387" s="14" t="str">
        <x:f>IF(H387="No","Exclude",IF(S387&gt;=70,"Priority 1",IF(S387&gt;=55,"Priority 2",IF(S387&gt;=40,"Priority 3","Low priority"))))</x:f>
        <x:v>Priority 3</x:v>
      </x:c>
    </x:row>
    <x:row r="388">
      <x:c r="A388" s="14" t="n">
        <x:v>387</x:v>
      </x:c>
      <x:c r="B388" s="18" t="str">
        <x:v>calculator inflation</x:v>
      </x:c>
      <x:c r="C388" s="18" t="str">
        <x:v>informational</x:v>
      </x:c>
      <x:c r="D388" s="26" t="n">
        <x:v>550000</x:v>
      </x:c>
      <x:c r="E388" s="28" t="n">
        <x:v>2.15</x:v>
      </x:c>
      <x:c r="F388" s="14" t="n">
        <x:v>2</x:v>
      </x:c>
      <x:c r="G388" s="14" t="n">
        <x:v>67</x:v>
      </x:c>
      <x:c r="H388" s="14" t="str">
        <x:v>Yes</x:v>
      </x:c>
      <x:c r="I388" s="18" t="str">
        <x:v>Clear calculation, conversion, estimation, or formula intent</x:v>
      </x:c>
      <x:c r="J388" s="18" t="str">
        <x:v>Personal Finance &amp; Investing</x:v>
      </x:c>
      <x:c r="K388" s="18" t="str">
        <x:v>Inflation calculator</x:v>
      </x:c>
      <x:c r="L388" s="18" t="n">
        <x:v>1</x:v>
      </x:c>
      <x:c r="M388" s="18" t="str">
        <x:v>Complex</x:v>
      </x:c>
      <x:c r="N388" s="18" t="str">
        <x:v>High</x:v>
      </x:c>
      <x:c r="O388" s="18" t="str">
        <x:v>Ads / Leads / Affiliate</x:v>
      </x:c>
      <x:c r="P388" s="30" t="n">
        <x:f>MAX(0,100-G388)</x:f>
        <x:v>33</x:v>
      </x:c>
      <x:c r="Q388" s="30" t="n">
        <x:f>MIN(100,ROUND(LOG10(D388+1)*18,0))</x:f>
        <x:v>100</x:v>
      </x:c>
      <x:c r="R388" s="30" t="n">
        <x:f>MIN(100,ROUND(E388*12,0))</x:f>
        <x:v>26</x:v>
      </x:c>
      <x:c r="S388" s="30" t="n">
        <x:f>IF(H388="No",0,ROUND(P388*0.45+Q388*0.30+R388*0.15+IF(M388="Easy",10,IF(M388="Medium",6,2))+IF(N388="High",5,IF(N388="Medium",3,0)),1))</x:f>
        <x:v>55.8</x:v>
      </x:c>
      <x:c r="T388" s="14" t="str">
        <x:f>IF(H388="No","Exclude",IF(S388&gt;=70,"Priority 1",IF(S388&gt;=55,"Priority 2",IF(S388&gt;=40,"Priority 3","Low priority"))))</x:f>
        <x:v>Priority 2</x:v>
      </x:c>
    </x:row>
    <x:row r="389">
      <x:c r="A389" s="14" t="n">
        <x:v>388</x:v>
      </x:c>
      <x:c r="B389" s="18" t="str">
        <x:v>calculator time card</x:v>
      </x:c>
      <x:c r="C389" s="18" t="str">
        <x:v>navigational, commercial</x:v>
      </x:c>
      <x:c r="D389" s="26" t="n">
        <x:v>201000</x:v>
      </x:c>
      <x:c r="E389" s="28" t="n">
        <x:v>5.64</x:v>
      </x:c>
      <x:c r="F389" s="14" t="n">
        <x:v>1</x:v>
      </x:c>
      <x:c r="G389" s="14" t="n">
        <x:v>67</x:v>
      </x:c>
      <x:c r="H389" s="14" t="str">
        <x:v>Yes</x:v>
      </x:c>
      <x:c r="I389" s="18" t="str">
        <x:v>Clear calculation, conversion, estimation, or formula intent</x:v>
      </x:c>
      <x:c r="J389" s="18" t="str">
        <x:v>Salary, Payroll &amp; Tax</x:v>
      </x:c>
      <x:c r="K389" s="18" t="str">
        <x:v>Time card/work hours calculator</x:v>
      </x:c>
      <x:c r="L389" s="18" t="n">
        <x:v>4</x:v>
      </x:c>
      <x:c r="M389" s="18" t="str">
        <x:v>Easy</x:v>
      </x:c>
      <x:c r="N389" s="18" t="str">
        <x:v>High</x:v>
      </x:c>
      <x:c r="O389" s="18" t="str">
        <x:v>Ads / SaaS leads</x:v>
      </x:c>
      <x:c r="P389" s="30" t="n">
        <x:f>MAX(0,100-G389)</x:f>
        <x:v>33</x:v>
      </x:c>
      <x:c r="Q389" s="30" t="n">
        <x:f>MIN(100,ROUND(LOG10(D389+1)*18,0))</x:f>
        <x:v>95</x:v>
      </x:c>
      <x:c r="R389" s="30" t="n">
        <x:f>MIN(100,ROUND(E389*12,0))</x:f>
        <x:v>68</x:v>
      </x:c>
      <x:c r="S389" s="30" t="n">
        <x:f>IF(H389="No",0,ROUND(P389*0.45+Q389*0.30+R389*0.15+IF(M389="Easy",10,IF(M389="Medium",6,2))+IF(N389="High",5,IF(N389="Medium",3,0)),1))</x:f>
        <x:v>68.6</x:v>
      </x:c>
      <x:c r="T389" s="14" t="str">
        <x:f>IF(H389="No","Exclude",IF(S389&gt;=70,"Priority 1",IF(S389&gt;=55,"Priority 2",IF(S389&gt;=40,"Priority 3","Low priority"))))</x:f>
        <x:v>Priority 2</x:v>
      </x:c>
    </x:row>
    <x:row r="390">
      <x:c r="A390" s="14" t="n">
        <x:v>389</x:v>
      </x:c>
      <x:c r="B390" s="18" t="str">
        <x:v>calculator online free</x:v>
      </x:c>
      <x:c r="C390" s="18" t="str">
        <x:v>informational</x:v>
      </x:c>
      <x:c r="D390" s="26" t="n">
        <x:v>9900</x:v>
      </x:c>
      <x:c r="E390" s="28" t="n">
        <x:v>1.91</x:v>
      </x:c>
      <x:c r="F390" s="14" t="n">
        <x:v>1</x:v>
      </x:c>
      <x:c r="G390" s="14" t="n">
        <x:v>67</x:v>
      </x:c>
      <x:c r="H390" s="14" t="str">
        <x:v>No</x:v>
      </x:c>
      <x:c r="I390" s="18" t="str">
        <x:v>App/product/brand/navigation/media intent rather than a calculation</x:v>
      </x:c>
      <x:c r="J390" s="18" t="str">
        <x:v>Excluded / Non-calculator</x:v>
      </x:c>
      <x:c r="K390" s="18" t="str"/>
      <x:c r="L390" s="18" t="n">
        <x:v>0</x:v>
      </x:c>
      <x:c r="M390" s="18" t="str"/>
      <x:c r="N390" s="18" t="str"/>
      <x:c r="O390" s="18" t="str"/>
      <x:c r="P390" s="30" t="n">
        <x:f>MAX(0,100-G390)</x:f>
        <x:v>33</x:v>
      </x:c>
      <x:c r="Q390" s="30" t="n">
        <x:f>MIN(100,ROUND(LOG10(D390+1)*18,0))</x:f>
        <x:v>72</x:v>
      </x:c>
      <x:c r="R390" s="30" t="n">
        <x:f>MIN(100,ROUND(E390*12,0))</x:f>
        <x:v>23</x:v>
      </x:c>
      <x:c r="S390" s="30" t="n">
        <x:f>IF(H390="No",0,ROUND(P390*0.45+Q390*0.30+R390*0.15+IF(M390="Easy",10,IF(M390="Medium",6,2))+IF(N390="High",5,IF(N390="Medium",3,0)),1))</x:f>
        <x:v>0</x:v>
      </x:c>
      <x:c r="T390" s="14" t="str">
        <x:f>IF(H390="No","Exclude",IF(S390&gt;=70,"Priority 1",IF(S390&gt;=55,"Priority 2",IF(S390&gt;=40,"Priority 3","Low priority"))))</x:f>
        <x:v>Exclude</x:v>
      </x:c>
    </x:row>
    <x:row r="391">
      <x:c r="A391" s="14" t="n">
        <x:v>390</x:v>
      </x:c>
      <x:c r="B391" s="18" t="str">
        <x:v>calculator free online</x:v>
      </x:c>
      <x:c r="C391" s="18" t="str">
        <x:v>informational</x:v>
      </x:c>
      <x:c r="D391" s="26" t="n">
        <x:v>2900</x:v>
      </x:c>
      <x:c r="E391" s="28" t="n">
        <x:v>1.72</x:v>
      </x:c>
      <x:c r="F391" s="14" t="n">
        <x:v>2</x:v>
      </x:c>
      <x:c r="G391" s="14" t="n">
        <x:v>67</x:v>
      </x:c>
      <x:c r="H391" s="14" t="str">
        <x:v>No</x:v>
      </x:c>
      <x:c r="I391" s="18" t="str">
        <x:v>App/product/brand/navigation/media intent rather than a calculation</x:v>
      </x:c>
      <x:c r="J391" s="18" t="str">
        <x:v>Excluded / Non-calculator</x:v>
      </x:c>
      <x:c r="K391" s="18" t="str"/>
      <x:c r="L391" s="18" t="n">
        <x:v>0</x:v>
      </x:c>
      <x:c r="M391" s="18" t="str"/>
      <x:c r="N391" s="18" t="str"/>
      <x:c r="O391" s="18" t="str"/>
      <x:c r="P391" s="30" t="n">
        <x:f>MAX(0,100-G391)</x:f>
        <x:v>33</x:v>
      </x:c>
      <x:c r="Q391" s="30" t="n">
        <x:f>MIN(100,ROUND(LOG10(D391+1)*18,0))</x:f>
        <x:v>62</x:v>
      </x:c>
      <x:c r="R391" s="30" t="n">
        <x:f>MIN(100,ROUND(E391*12,0))</x:f>
        <x:v>21</x:v>
      </x:c>
      <x:c r="S391" s="30" t="n">
        <x:f>IF(H391="No",0,ROUND(P391*0.45+Q391*0.30+R391*0.15+IF(M391="Easy",10,IF(M391="Medium",6,2))+IF(N391="High",5,IF(N391="Medium",3,0)),1))</x:f>
        <x:v>0</x:v>
      </x:c>
      <x:c r="T391" s="14" t="str">
        <x:f>IF(H391="No","Exclude",IF(S391&gt;=70,"Priority 1",IF(S391&gt;=55,"Priority 2",IF(S391&gt;=40,"Priority 3","Low priority"))))</x:f>
        <x:v>Exclude</x:v>
      </x:c>
    </x:row>
    <x:row r="392">
      <x:c r="A392" s="14" t="n">
        <x:v>391</x:v>
      </x:c>
      <x:c r="B392" s="18" t="str">
        <x:v>calculator calorie deficit</x:v>
      </x:c>
      <x:c r="C392" s="18" t="str">
        <x:v>informational</x:v>
      </x:c>
      <x:c r="D392" s="26" t="n">
        <x:v>320</x:v>
      </x:c>
      <x:c r="E392" s="28" t="n">
        <x:v>0.75</x:v>
      </x:c>
      <x:c r="F392" s="14" t="n">
        <x:v>20</x:v>
      </x:c>
      <x:c r="G392" s="14" t="n">
        <x:v>67</x:v>
      </x:c>
      <x:c r="H392" s="14" t="str">
        <x:v>Yes</x:v>
      </x:c>
      <x:c r="I392" s="18" t="str">
        <x:v>Clear calculation, conversion, estimation, or formula intent</x:v>
      </x:c>
      <x:c r="J392" s="18" t="str">
        <x:v>Health, Nutrition &amp; Fitness</x:v>
      </x:c>
      <x:c r="K392" s="18" t="str">
        <x:v>Calorie deficit calculator</x:v>
      </x:c>
      <x:c r="L392" s="18" t="n">
        <x:v>4</x:v>
      </x:c>
      <x:c r="M392" s="18" t="str">
        <x:v>Easy</x:v>
      </x:c>
      <x:c r="N392" s="18" t="str">
        <x:v>Medium</x:v>
      </x:c>
      <x:c r="O392" s="18" t="str">
        <x:v>Ads / Affiliate</x:v>
      </x:c>
      <x:c r="P392" s="30" t="n">
        <x:f>MAX(0,100-G392)</x:f>
        <x:v>33</x:v>
      </x:c>
      <x:c r="Q392" s="30" t="n">
        <x:f>MIN(100,ROUND(LOG10(D392+1)*18,0))</x:f>
        <x:v>45</x:v>
      </x:c>
      <x:c r="R392" s="30" t="n">
        <x:f>MIN(100,ROUND(E392*12,0))</x:f>
        <x:v>9</x:v>
      </x:c>
      <x:c r="S392" s="30" t="n">
        <x:f>IF(H392="No",0,ROUND(P392*0.45+Q392*0.30+R392*0.15+IF(M392="Easy",10,IF(M392="Medium",6,2))+IF(N392="High",5,IF(N392="Medium",3,0)),1))</x:f>
        <x:v>42.7</x:v>
      </x:c>
      <x:c r="T392" s="14" t="str">
        <x:f>IF(H392="No","Exclude",IF(S392&gt;=70,"Priority 1",IF(S392&gt;=55,"Priority 2",IF(S392&gt;=40,"Priority 3","Low priority"))))</x:f>
        <x:v>Priority 3</x:v>
      </x:c>
    </x:row>
    <x:row r="393">
      <x:c r="A393" s="14" t="n">
        <x:v>392</x:v>
      </x:c>
      <x:c r="B393" s="18" t="str">
        <x:v>calculator deficit</x:v>
      </x:c>
      <x:c r="C393" s="18" t="str">
        <x:v>informational</x:v>
      </x:c>
      <x:c r="D393" s="26" t="n">
        <x:v>110</x:v>
      </x:c>
      <x:c r="E393" s="28" t="n">
        <x:v>0.71</x:v>
      </x:c>
      <x:c r="F393" s="14" t="n">
        <x:v>8</x:v>
      </x:c>
      <x:c r="G393" s="14" t="n">
        <x:v>67</x:v>
      </x:c>
      <x:c r="H393" s="14" t="str">
        <x:v>Maybe</x:v>
      </x:c>
      <x:c r="I393" s="18" t="str">
        <x:v>Insufficiently specific; requires SERP validation before development</x:v>
      </x:c>
      <x:c r="J393" s="18" t="str">
        <x:v>General / Other</x:v>
      </x:c>
      <x:c r="K393" s="18" t="str">
        <x:v>Calorie deficit calculator</x:v>
      </x:c>
      <x:c r="L393" s="18" t="n">
        <x:v>4</x:v>
      </x:c>
      <x:c r="M393" s="18" t="str">
        <x:v>Easy</x:v>
      </x:c>
      <x:c r="N393" s="18" t="str">
        <x:v>Medium</x:v>
      </x:c>
      <x:c r="O393" s="18" t="str">
        <x:v>Ads</x:v>
      </x:c>
      <x:c r="P393" s="30" t="n">
        <x:f>MAX(0,100-G393)</x:f>
        <x:v>33</x:v>
      </x:c>
      <x:c r="Q393" s="30" t="n">
        <x:f>MIN(100,ROUND(LOG10(D393+1)*18,0))</x:f>
        <x:v>37</x:v>
      </x:c>
      <x:c r="R393" s="30" t="n">
        <x:f>MIN(100,ROUND(E393*12,0))</x:f>
        <x:v>9</x:v>
      </x:c>
      <x:c r="S393" s="30" t="n">
        <x:f>IF(H393="No",0,ROUND(P393*0.45+Q393*0.30+R393*0.15+IF(M393="Easy",10,IF(M393="Medium",6,2))+IF(N393="High",5,IF(N393="Medium",3,0)),1))</x:f>
        <x:v>40.3</x:v>
      </x:c>
      <x:c r="T393" s="14" t="str">
        <x:f>IF(H393="No","Exclude",IF(S393&gt;=70,"Priority 1",IF(S393&gt;=55,"Priority 2",IF(S393&gt;=40,"Priority 3","Low priority"))))</x:f>
        <x:v>Priority 3</x:v>
      </x:c>
    </x:row>
    <x:row r="394">
      <x:c r="A394" s="14" t="n">
        <x:v>393</x:v>
      </x:c>
      <x:c r="B394" s="18" t="str">
        <x:v>calculator high yield savings</x:v>
      </x:c>
      <x:c r="C394" s="18" t="str">
        <x:v>informational</x:v>
      </x:c>
      <x:c r="D394" s="26" t="n">
        <x:v>70</x:v>
      </x:c>
      <x:c r="E394" s="28" t="n">
        <x:v>5.12</x:v>
      </x:c>
      <x:c r="F394" s="14" t="n">
        <x:v>44</x:v>
      </x:c>
      <x:c r="G394" s="14" t="n">
        <x:v>67</x:v>
      </x:c>
      <x:c r="H394" s="14" t="str">
        <x:v>Maybe</x:v>
      </x:c>
      <x:c r="I394" s="18" t="str">
        <x:v>Insufficiently specific; requires SERP validation before development</x:v>
      </x:c>
      <x:c r="J394" s="18" t="str">
        <x:v>Personal Finance &amp; Investing</x:v>
      </x:c>
      <x:c r="K394" s="18" t="str">
        <x:v>High Yield Savings calculator</x:v>
      </x:c>
      <x:c r="L394" s="18" t="n">
        <x:v>1</x:v>
      </x:c>
      <x:c r="M394" s="18" t="str">
        <x:v>Easy</x:v>
      </x:c>
      <x:c r="N394" s="18" t="str">
        <x:v>High</x:v>
      </x:c>
      <x:c r="O394" s="18" t="str">
        <x:v>Ads / Leads / Affiliate</x:v>
      </x:c>
      <x:c r="P394" s="30" t="n">
        <x:f>MAX(0,100-G394)</x:f>
        <x:v>33</x:v>
      </x:c>
      <x:c r="Q394" s="30" t="n">
        <x:f>MIN(100,ROUND(LOG10(D394+1)*18,0))</x:f>
        <x:v>33</x:v>
      </x:c>
      <x:c r="R394" s="30" t="n">
        <x:f>MIN(100,ROUND(E394*12,0))</x:f>
        <x:v>61</x:v>
      </x:c>
      <x:c r="S394" s="30" t="n">
        <x:f>IF(H394="No",0,ROUND(P394*0.45+Q394*0.30+R394*0.15+IF(M394="Easy",10,IF(M394="Medium",6,2))+IF(N394="High",5,IF(N394="Medium",3,0)),1))</x:f>
        <x:v>48.9</x:v>
      </x:c>
      <x:c r="T394" s="14" t="str">
        <x:f>IF(H394="No","Exclude",IF(S394&gt;=70,"Priority 1",IF(S394&gt;=55,"Priority 2",IF(S394&gt;=40,"Priority 3","Low priority"))))</x:f>
        <x:v>Priority 3</x:v>
      </x:c>
    </x:row>
    <x:row r="395">
      <x:c r="A395" s="14" t="n">
        <x:v>394</x:v>
      </x:c>
      <x:c r="B395" s="18" t="str">
        <x:v>calculator online</x:v>
      </x:c>
      <x:c r="C395" s="18" t="str">
        <x:v>informational</x:v>
      </x:c>
      <x:c r="D395" s="26" t="n">
        <x:v>135000</x:v>
      </x:c>
      <x:c r="E395" s="28" t="n">
        <x:v>2.98</x:v>
      </x:c>
      <x:c r="F395" s="14" t="n">
        <x:v>1</x:v>
      </x:c>
      <x:c r="G395" s="14" t="n">
        <x:v>68</x:v>
      </x:c>
      <x:c r="H395" s="14" t="str">
        <x:v>No</x:v>
      </x:c>
      <x:c r="I395" s="18" t="str">
        <x:v>App/product/brand/navigation/media intent rather than a calculation</x:v>
      </x:c>
      <x:c r="J395" s="18" t="str">
        <x:v>Excluded / Non-calculator</x:v>
      </x:c>
      <x:c r="K395" s="18" t="str"/>
      <x:c r="L395" s="18" t="n">
        <x:v>0</x:v>
      </x:c>
      <x:c r="M395" s="18" t="str"/>
      <x:c r="N395" s="18" t="str"/>
      <x:c r="O395" s="18" t="str"/>
      <x:c r="P395" s="30" t="n">
        <x:f>MAX(0,100-G395)</x:f>
        <x:v>32</x:v>
      </x:c>
      <x:c r="Q395" s="30" t="n">
        <x:f>MIN(100,ROUND(LOG10(D395+1)*18,0))</x:f>
        <x:v>92</x:v>
      </x:c>
      <x:c r="R395" s="30" t="n">
        <x:f>MIN(100,ROUND(E395*12,0))</x:f>
        <x:v>36</x:v>
      </x:c>
      <x:c r="S395" s="30" t="n">
        <x:f>IF(H395="No",0,ROUND(P395*0.45+Q395*0.30+R395*0.15+IF(M395="Easy",10,IF(M395="Medium",6,2))+IF(N395="High",5,IF(N395="Medium",3,0)),1))</x:f>
        <x:v>0</x:v>
      </x:c>
      <x:c r="T395" s="14" t="str">
        <x:f>IF(H395="No","Exclude",IF(S395&gt;=70,"Priority 1",IF(S395&gt;=55,"Priority 2",IF(S395&gt;=40,"Priority 3","Low priority"))))</x:f>
        <x:v>Exclude</x:v>
      </x:c>
    </x:row>
    <x:row r="396">
      <x:c r="A396" s="14" t="n">
        <x:v>395</x:v>
      </x:c>
      <x:c r="B396" s="18" t="str">
        <x:v>calculator how much house can i afford</x:v>
      </x:c>
      <x:c r="C396" s="18" t="str">
        <x:v>informational</x:v>
      </x:c>
      <x:c r="D396" s="26" t="n">
        <x:v>33100</x:v>
      </x:c>
      <x:c r="E396" s="28" t="n">
        <x:v>3.2</x:v>
      </x:c>
      <x:c r="F396" s="14" t="n">
        <x:v>60</x:v>
      </x:c>
      <x:c r="G396" s="14" t="n">
        <x:v>68</x:v>
      </x:c>
      <x:c r="H396" s="14" t="str">
        <x:v>Yes</x:v>
      </x:c>
      <x:c r="I396" s="18" t="str">
        <x:v>Clear calculation, conversion, estimation, or formula intent</x:v>
      </x:c>
      <x:c r="J396" s="18" t="str">
        <x:v>Mortgage &amp; Real Estate</x:v>
      </x:c>
      <x:c r="K396" s="18" t="str">
        <x:v>How Much House Can I Afford calculator</x:v>
      </x:c>
      <x:c r="L396" s="18" t="n">
        <x:v>1</x:v>
      </x:c>
      <x:c r="M396" s="18" t="str">
        <x:v>Complex</x:v>
      </x:c>
      <x:c r="N396" s="18" t="str">
        <x:v>High</x:v>
      </x:c>
      <x:c r="O396" s="18" t="str">
        <x:v>Leads / Ads / Affiliate</x:v>
      </x:c>
      <x:c r="P396" s="30" t="n">
        <x:f>MAX(0,100-G396)</x:f>
        <x:v>32</x:v>
      </x:c>
      <x:c r="Q396" s="30" t="n">
        <x:f>MIN(100,ROUND(LOG10(D396+1)*18,0))</x:f>
        <x:v>81</x:v>
      </x:c>
      <x:c r="R396" s="30" t="n">
        <x:f>MIN(100,ROUND(E396*12,0))</x:f>
        <x:v>38</x:v>
      </x:c>
      <x:c r="S396" s="30" t="n">
        <x:f>IF(H396="No",0,ROUND(P396*0.45+Q396*0.30+R396*0.15+IF(M396="Easy",10,IF(M396="Medium",6,2))+IF(N396="High",5,IF(N396="Medium",3,0)),1))</x:f>
        <x:v>51.4</x:v>
      </x:c>
      <x:c r="T396" s="14" t="str">
        <x:f>IF(H396="No","Exclude",IF(S396&gt;=70,"Priority 1",IF(S396&gt;=55,"Priority 2",IF(S396&gt;=40,"Priority 3","Low priority"))))</x:f>
        <x:v>Priority 3</x:v>
      </x:c>
    </x:row>
    <x:row r="397">
      <x:c r="A397" s="14" t="n">
        <x:v>396</x:v>
      </x:c>
      <x:c r="B397" s="18" t="str">
        <x:v>calculator mortgage</x:v>
      </x:c>
      <x:c r="C397" s="18" t="str">
        <x:v>informational</x:v>
      </x:c>
      <x:c r="D397" s="26" t="n">
        <x:v>2900</x:v>
      </x:c>
      <x:c r="E397" s="28" t="n">
        <x:v>1.99</x:v>
      </x:c>
      <x:c r="F397" s="14" t="n">
        <x:v>36</x:v>
      </x:c>
      <x:c r="G397" s="14" t="n">
        <x:v>68</x:v>
      </x:c>
      <x:c r="H397" s="14" t="str">
        <x:v>Yes</x:v>
      </x:c>
      <x:c r="I397" s="18" t="str">
        <x:v>Clear calculation, conversion, estimation, or formula intent</x:v>
      </x:c>
      <x:c r="J397" s="18" t="str">
        <x:v>Mortgage &amp; Real Estate</x:v>
      </x:c>
      <x:c r="K397" s="18" t="str">
        <x:v>Mortgage payment calculator</x:v>
      </x:c>
      <x:c r="L397" s="18" t="n">
        <x:v>7</x:v>
      </x:c>
      <x:c r="M397" s="18" t="str">
        <x:v>Medium</x:v>
      </x:c>
      <x:c r="N397" s="18" t="str">
        <x:v>High</x:v>
      </x:c>
      <x:c r="O397" s="18" t="str">
        <x:v>Leads / Ads / Affiliate</x:v>
      </x:c>
      <x:c r="P397" s="30" t="n">
        <x:f>MAX(0,100-G397)</x:f>
        <x:v>32</x:v>
      </x:c>
      <x:c r="Q397" s="30" t="n">
        <x:f>MIN(100,ROUND(LOG10(D397+1)*18,0))</x:f>
        <x:v>62</x:v>
      </x:c>
      <x:c r="R397" s="30" t="n">
        <x:f>MIN(100,ROUND(E397*12,0))</x:f>
        <x:v>24</x:v>
      </x:c>
      <x:c r="S397" s="30" t="n">
        <x:f>IF(H397="No",0,ROUND(P397*0.45+Q397*0.30+R397*0.15+IF(M397="Easy",10,IF(M397="Medium",6,2))+IF(N397="High",5,IF(N397="Medium",3,0)),1))</x:f>
        <x:v>47.6</x:v>
      </x:c>
      <x:c r="T397" s="14" t="str">
        <x:f>IF(H397="No","Exclude",IF(S397&gt;=70,"Priority 1",IF(S397&gt;=55,"Priority 2",IF(S397&gt;=40,"Priority 3","Low priority"))))</x:f>
        <x:v>Priority 3</x:v>
      </x:c>
    </x:row>
    <x:row r="398">
      <x:c r="A398" s="14" t="n">
        <x:v>397</x:v>
      </x:c>
      <x:c r="B398" s="18" t="str">
        <x:v>calculator google free</x:v>
      </x:c>
      <x:c r="C398" s="18" t="str">
        <x:v>navigational</x:v>
      </x:c>
      <x:c r="D398" s="26" t="n">
        <x:v>2400</x:v>
      </x:c>
      <x:c r="E398" s="28" t="n">
        <x:v>0.99</x:v>
      </x:c>
      <x:c r="F398" s="14" t="n">
        <x:v>1</x:v>
      </x:c>
      <x:c r="G398" s="14" t="n">
        <x:v>68</x:v>
      </x:c>
      <x:c r="H398" s="14" t="str">
        <x:v>No</x:v>
      </x:c>
      <x:c r="I398" s="18" t="str">
        <x:v>App/product/brand/navigation/media intent rather than a calculation</x:v>
      </x:c>
      <x:c r="J398" s="18" t="str">
        <x:v>Excluded / Non-calculator</x:v>
      </x:c>
      <x:c r="K398" s="18" t="str"/>
      <x:c r="L398" s="18" t="n">
        <x:v>0</x:v>
      </x:c>
      <x:c r="M398" s="18" t="str"/>
      <x:c r="N398" s="18" t="str"/>
      <x:c r="O398" s="18" t="str"/>
      <x:c r="P398" s="30" t="n">
        <x:f>MAX(0,100-G398)</x:f>
        <x:v>32</x:v>
      </x:c>
      <x:c r="Q398" s="30" t="n">
        <x:f>MIN(100,ROUND(LOG10(D398+1)*18,0))</x:f>
        <x:v>61</x:v>
      </x:c>
      <x:c r="R398" s="30" t="n">
        <x:f>MIN(100,ROUND(E398*12,0))</x:f>
        <x:v>12</x:v>
      </x:c>
      <x:c r="S398" s="30" t="n">
        <x:f>IF(H398="No",0,ROUND(P398*0.45+Q398*0.30+R398*0.15+IF(M398="Easy",10,IF(M398="Medium",6,2))+IF(N398="High",5,IF(N398="Medium",3,0)),1))</x:f>
        <x:v>0</x:v>
      </x:c>
      <x:c r="T398" s="14" t="str">
        <x:f>IF(H398="No","Exclude",IF(S398&gt;=70,"Priority 1",IF(S398&gt;=55,"Priority 2",IF(S398&gt;=40,"Priority 3","Low priority"))))</x:f>
        <x:v>Exclude</x:v>
      </x:c>
    </x:row>
    <x:row r="399">
      <x:c r="A399" s="14" t="n">
        <x:v>398</x:v>
      </x:c>
      <x:c r="B399" s="18" t="str">
        <x:v>calculator bmi</x:v>
      </x:c>
      <x:c r="C399" s="18" t="str">
        <x:v>informational</x:v>
      </x:c>
      <x:c r="D399" s="26" t="n">
        <x:v>1900</x:v>
      </x:c>
      <x:c r="E399" s="28" t="n">
        <x:v>0.85</x:v>
      </x:c>
      <x:c r="F399" s="14" t="n">
        <x:v>28</x:v>
      </x:c>
      <x:c r="G399" s="14" t="n">
        <x:v>68</x:v>
      </x:c>
      <x:c r="H399" s="14" t="str">
        <x:v>Yes</x:v>
      </x:c>
      <x:c r="I399" s="18" t="str">
        <x:v>Clear calculation, conversion, estimation, or formula intent</x:v>
      </x:c>
      <x:c r="J399" s="18" t="str">
        <x:v>Health, Nutrition &amp; Fitness</x:v>
      </x:c>
      <x:c r="K399" s="18" t="str">
        <x:v>Bmi calculator</x:v>
      </x:c>
      <x:c r="L399" s="18" t="n">
        <x:v>1</x:v>
      </x:c>
      <x:c r="M399" s="18" t="str">
        <x:v>Easy</x:v>
      </x:c>
      <x:c r="N399" s="18" t="str">
        <x:v>Medium</x:v>
      </x:c>
      <x:c r="O399" s="18" t="str">
        <x:v>Ads / Affiliate</x:v>
      </x:c>
      <x:c r="P399" s="30" t="n">
        <x:f>MAX(0,100-G399)</x:f>
        <x:v>32</x:v>
      </x:c>
      <x:c r="Q399" s="30" t="n">
        <x:f>MIN(100,ROUND(LOG10(D399+1)*18,0))</x:f>
        <x:v>59</x:v>
      </x:c>
      <x:c r="R399" s="30" t="n">
        <x:f>MIN(100,ROUND(E399*12,0))</x:f>
        <x:v>10</x:v>
      </x:c>
      <x:c r="S399" s="30" t="n">
        <x:f>IF(H399="No",0,ROUND(P399*0.45+Q399*0.30+R399*0.15+IF(M399="Easy",10,IF(M399="Medium",6,2))+IF(N399="High",5,IF(N399="Medium",3,0)),1))</x:f>
        <x:v>46.6</x:v>
      </x:c>
      <x:c r="T399" s="14" t="str">
        <x:f>IF(H399="No","Exclude",IF(S399&gt;=70,"Priority 1",IF(S399&gt;=55,"Priority 2",IF(S399&gt;=40,"Priority 3","Low priority"))))</x:f>
        <x:v>Priority 3</x:v>
      </x:c>
    </x:row>
    <x:row r="400">
      <x:c r="A400" s="14" t="n">
        <x:v>399</x:v>
      </x:c>
      <x:c r="B400" s="18" t="str">
        <x:v>calculator gross income</x:v>
      </x:c>
      <x:c r="C400" s="18" t="str">
        <x:v>informational</x:v>
      </x:c>
      <x:c r="D400" s="26" t="n">
        <x:v>1900</x:v>
      </x:c>
      <x:c r="E400" s="28" t="n">
        <x:v>1.25</x:v>
      </x:c>
      <x:c r="F400" s="14" t="n">
        <x:v>1</x:v>
      </x:c>
      <x:c r="G400" s="14" t="n">
        <x:v>68</x:v>
      </x:c>
      <x:c r="H400" s="14" t="str">
        <x:v>Yes</x:v>
      </x:c>
      <x:c r="I400" s="18" t="str">
        <x:v>Clear calculation, conversion, estimation, or formula intent</x:v>
      </x:c>
      <x:c r="J400" s="18" t="str">
        <x:v>Salary, Payroll &amp; Tax</x:v>
      </x:c>
      <x:c r="K400" s="18" t="str">
        <x:v>Gross Income calculator</x:v>
      </x:c>
      <x:c r="L400" s="18" t="n">
        <x:v>1</x:v>
      </x:c>
      <x:c r="M400" s="18" t="str">
        <x:v>Easy</x:v>
      </x:c>
      <x:c r="N400" s="18" t="str">
        <x:v>High</x:v>
      </x:c>
      <x:c r="O400" s="18" t="str">
        <x:v>Ads / SaaS leads</x:v>
      </x:c>
      <x:c r="P400" s="30" t="n">
        <x:f>MAX(0,100-G400)</x:f>
        <x:v>32</x:v>
      </x:c>
      <x:c r="Q400" s="30" t="n">
        <x:f>MIN(100,ROUND(LOG10(D400+1)*18,0))</x:f>
        <x:v>59</x:v>
      </x:c>
      <x:c r="R400" s="30" t="n">
        <x:f>MIN(100,ROUND(E400*12,0))</x:f>
        <x:v>15</x:v>
      </x:c>
      <x:c r="S400" s="30" t="n">
        <x:f>IF(H400="No",0,ROUND(P400*0.45+Q400*0.30+R400*0.15+IF(M400="Easy",10,IF(M400="Medium",6,2))+IF(N400="High",5,IF(N400="Medium",3,0)),1))</x:f>
        <x:v>49.4</x:v>
      </x:c>
      <x:c r="T400" s="14" t="str">
        <x:f>IF(H400="No","Exclude",IF(S400&gt;=70,"Priority 1",IF(S400&gt;=55,"Priority 2",IF(S400&gt;=40,"Priority 3","Low priority"))))</x:f>
        <x:v>Priority 3</x:v>
      </x:c>
    </x:row>
    <x:row r="401">
      <x:c r="A401" s="14" t="n">
        <x:v>400</x:v>
      </x:c>
      <x:c r="B401" s="18" t="str">
        <x:v>calculator site</x:v>
      </x:c>
      <x:c r="C401" s="18" t="str">
        <x:v>navigational</x:v>
      </x:c>
      <x:c r="D401" s="26" t="n">
        <x:v>1300</x:v>
      </x:c>
      <x:c r="E401" s="28" t="n">
        <x:v>2.62</x:v>
      </x:c>
      <x:c r="F401" s="14" t="n">
        <x:v>1</x:v>
      </x:c>
      <x:c r="G401" s="14" t="n">
        <x:v>68</x:v>
      </x:c>
      <x:c r="H401" s="14" t="str">
        <x:v>No</x:v>
      </x:c>
      <x:c r="I401" s="18" t="str">
        <x:v>App/product/brand/navigation/media intent rather than a calculation</x:v>
      </x:c>
      <x:c r="J401" s="18" t="str">
        <x:v>Excluded / Non-calculator</x:v>
      </x:c>
      <x:c r="K401" s="18" t="str"/>
      <x:c r="L401" s="18" t="n">
        <x:v>0</x:v>
      </x:c>
      <x:c r="M401" s="18" t="str"/>
      <x:c r="N401" s="18" t="str"/>
      <x:c r="O401" s="18" t="str"/>
      <x:c r="P401" s="30" t="n">
        <x:f>MAX(0,100-G401)</x:f>
        <x:v>32</x:v>
      </x:c>
      <x:c r="Q401" s="30" t="n">
        <x:f>MIN(100,ROUND(LOG10(D401+1)*18,0))</x:f>
        <x:v>56</x:v>
      </x:c>
      <x:c r="R401" s="30" t="n">
        <x:f>MIN(100,ROUND(E401*12,0))</x:f>
        <x:v>31</x:v>
      </x:c>
      <x:c r="S401" s="30" t="n">
        <x:f>IF(H401="No",0,ROUND(P401*0.45+Q401*0.30+R401*0.15+IF(M401="Easy",10,IF(M401="Medium",6,2))+IF(N401="High",5,IF(N401="Medium",3,0)),1))</x:f>
        <x:v>0</x:v>
      </x:c>
      <x:c r="T401" s="14" t="str">
        <x:f>IF(H401="No","Exclude",IF(S401&gt;=70,"Priority 1",IF(S401&gt;=55,"Priority 2",IF(S401&gt;=40,"Priority 3","Low priority"))))</x:f>
        <x:v>Exclude</x:v>
      </x:c>
    </x:row>
    <x:row r="402">
      <x:c r="A402" s="14" t="n">
        <x:v>401</x:v>
      </x:c>
      <x:c r="B402" s="18" t="str">
        <x:v>calculator net worth</x:v>
      </x:c>
      <x:c r="C402" s="18" t="str">
        <x:v>commercial, informational</x:v>
      </x:c>
      <x:c r="D402" s="26" t="n">
        <x:v>27100</x:v>
      </x:c>
      <x:c r="E402" s="28" t="n">
        <x:v>1.02</x:v>
      </x:c>
      <x:c r="F402" s="14" t="n">
        <x:v>7</x:v>
      </x:c>
      <x:c r="G402" s="14" t="n">
        <x:v>69</x:v>
      </x:c>
      <x:c r="H402" s="14" t="str">
        <x:v>Yes</x:v>
      </x:c>
      <x:c r="I402" s="18" t="str">
        <x:v>Clear calculation, conversion, estimation, or formula intent</x:v>
      </x:c>
      <x:c r="J402" s="18" t="str">
        <x:v>Personal Finance &amp; Investing</x:v>
      </x:c>
      <x:c r="K402" s="18" t="str">
        <x:v>Net Worth calculator</x:v>
      </x:c>
      <x:c r="L402" s="18" t="n">
        <x:v>1</x:v>
      </x:c>
      <x:c r="M402" s="18" t="str">
        <x:v>Easy</x:v>
      </x:c>
      <x:c r="N402" s="18" t="str">
        <x:v>High</x:v>
      </x:c>
      <x:c r="O402" s="18" t="str">
        <x:v>Ads / Leads / Affiliate</x:v>
      </x:c>
      <x:c r="P402" s="30" t="n">
        <x:f>MAX(0,100-G402)</x:f>
        <x:v>31</x:v>
      </x:c>
      <x:c r="Q402" s="30" t="n">
        <x:f>MIN(100,ROUND(LOG10(D402+1)*18,0))</x:f>
        <x:v>80</x:v>
      </x:c>
      <x:c r="R402" s="30" t="n">
        <x:f>MIN(100,ROUND(E402*12,0))</x:f>
        <x:v>12</x:v>
      </x:c>
      <x:c r="S402" s="30" t="n">
        <x:f>IF(H402="No",0,ROUND(P402*0.45+Q402*0.30+R402*0.15+IF(M402="Easy",10,IF(M402="Medium",6,2))+IF(N402="High",5,IF(N402="Medium",3,0)),1))</x:f>
        <x:v>54.8</x:v>
      </x:c>
      <x:c r="T402" s="14" t="str">
        <x:f>IF(H402="No","Exclude",IF(S402&gt;=70,"Priority 1",IF(S402&gt;=55,"Priority 2",IF(S402&gt;=40,"Priority 3","Low priority"))))</x:f>
        <x:v>Priority 3</x:v>
      </x:c>
    </x:row>
    <x:row r="403">
      <x:c r="A403" s="14" t="n">
        <x:v>402</x:v>
      </x:c>
      <x:c r="B403" s="18" t="str">
        <x:v>calculator zodiac</x:v>
      </x:c>
      <x:c r="C403" s="18" t="str">
        <x:v>informational</x:v>
      </x:c>
      <x:c r="D403" s="26" t="n">
        <x:v>5400</x:v>
      </x:c>
      <x:c r="E403" s="28" t="n">
        <x:v>1.42</x:v>
      </x:c>
      <x:c r="F403" s="14" t="n">
        <x:v>3</x:v>
      </x:c>
      <x:c r="G403" s="14" t="n">
        <x:v>69</x:v>
      </x:c>
      <x:c r="H403" s="14" t="str">
        <x:v>Yes</x:v>
      </x:c>
      <x:c r="I403" s="18" t="str">
        <x:v>Clear calculation, conversion, estimation, or formula intent</x:v>
      </x:c>
      <x:c r="J403" s="18" t="str">
        <x:v>Lifestyle &amp; Entertainment</x:v>
      </x:c>
      <x:c r="K403" s="18" t="str">
        <x:v>Zodiac calculator</x:v>
      </x:c>
      <x:c r="L403" s="18" t="n">
        <x:v>1</x:v>
      </x:c>
      <x:c r="M403" s="18" t="str">
        <x:v>Easy</x:v>
      </x:c>
      <x:c r="N403" s="18" t="str">
        <x:v>Medium</x:v>
      </x:c>
      <x:c r="O403" s="18" t="str">
        <x:v>Ads</x:v>
      </x:c>
      <x:c r="P403" s="30" t="n">
        <x:f>MAX(0,100-G403)</x:f>
        <x:v>31</x:v>
      </x:c>
      <x:c r="Q403" s="30" t="n">
        <x:f>MIN(100,ROUND(LOG10(D403+1)*18,0))</x:f>
        <x:v>67</x:v>
      </x:c>
      <x:c r="R403" s="30" t="n">
        <x:f>MIN(100,ROUND(E403*12,0))</x:f>
        <x:v>17</x:v>
      </x:c>
      <x:c r="S403" s="30" t="n">
        <x:f>IF(H403="No",0,ROUND(P403*0.45+Q403*0.30+R403*0.15+IF(M403="Easy",10,IF(M403="Medium",6,2))+IF(N403="High",5,IF(N403="Medium",3,0)),1))</x:f>
        <x:v>49.6</x:v>
      </x:c>
      <x:c r="T403" s="14" t="str">
        <x:f>IF(H403="No","Exclude",IF(S403&gt;=70,"Priority 1",IF(S403&gt;=55,"Priority 2",IF(S403&gt;=40,"Priority 3","Low priority"))))</x:f>
        <x:v>Priority 3</x:v>
      </x:c>
    </x:row>
    <x:row r="404">
      <x:c r="A404" s="14" t="n">
        <x:v>403</x:v>
      </x:c>
      <x:c r="B404" s="18" t="str">
        <x:v>calculator 65</x:v>
      </x:c>
      <x:c r="C404" s="18" t="str">
        <x:v>transactional</x:v>
      </x:c>
      <x:c r="D404" s="26" t="n">
        <x:v>40</x:v>
      </x:c>
      <x:c r="E404" s="28" t="n">
        <x:v>0</x:v>
      </x:c>
      <x:c r="F404" s="14" t="n">
        <x:v>1</x:v>
      </x:c>
      <x:c r="G404" s="14" t="n">
        <x:v>70</x:v>
      </x:c>
      <x:c r="H404" s="14" t="str">
        <x:v>No</x:v>
      </x:c>
      <x:c r="I404" s="18" t="str">
        <x:v>Model/number query, not a distinct web calculator</x:v>
      </x:c>
      <x:c r="J404" s="18" t="str">
        <x:v>Excluded / Non-calculator</x:v>
      </x:c>
      <x:c r="K404" s="18" t="str"/>
      <x:c r="L404" s="18" t="n">
        <x:v>0</x:v>
      </x:c>
      <x:c r="M404" s="18" t="str"/>
      <x:c r="N404" s="18" t="str"/>
      <x:c r="O404" s="18" t="str"/>
      <x:c r="P404" s="30" t="n">
        <x:f>MAX(0,100-G404)</x:f>
        <x:v>30</x:v>
      </x:c>
      <x:c r="Q404" s="30" t="n">
        <x:f>MIN(100,ROUND(LOG10(D404+1)*18,0))</x:f>
        <x:v>29</x:v>
      </x:c>
      <x:c r="R404" s="30" t="n">
        <x:f>MIN(100,ROUND(E404*12,0))</x:f>
        <x:v>0</x:v>
      </x:c>
      <x:c r="S404" s="30" t="n">
        <x:f>IF(H404="No",0,ROUND(P404*0.45+Q404*0.30+R404*0.15+IF(M404="Easy",10,IF(M404="Medium",6,2))+IF(N404="High",5,IF(N404="Medium",3,0)),1))</x:f>
        <x:v>0</x:v>
      </x:c>
      <x:c r="T404" s="14" t="str">
        <x:f>IF(H404="No","Exclude",IF(S404&gt;=70,"Priority 1",IF(S404&gt;=55,"Priority 2",IF(S404&gt;=40,"Priority 3","Low priority"))))</x:f>
        <x:v>Exclude</x:v>
      </x:c>
    </x:row>
    <x:row r="405">
      <x:c r="A405" s="14" t="n">
        <x:v>404</x:v>
      </x:c>
      <x:c r="B405" s="18" t="str">
        <x:v>calculator work hours</x:v>
      </x:c>
      <x:c r="C405" s="18" t="str">
        <x:v>null</x:v>
      </x:c>
      <x:c r="D405" s="26" t="n">
        <x:v>165000</x:v>
      </x:c>
      <x:c r="E405" s="28" t="n">
        <x:v>2.71</x:v>
      </x:c>
      <x:c r="F405" s="14" t="n">
        <x:v>2</x:v>
      </x:c>
      <x:c r="G405" s="14" t="n">
        <x:v>71</x:v>
      </x:c>
      <x:c r="H405" s="14" t="str">
        <x:v>Yes</x:v>
      </x:c>
      <x:c r="I405" s="18" t="str">
        <x:v>Clear calculation, conversion, estimation, or formula intent</x:v>
      </x:c>
      <x:c r="J405" s="18" t="str">
        <x:v>Salary, Payroll &amp; Tax</x:v>
      </x:c>
      <x:c r="K405" s="18" t="str">
        <x:v>Time card/work hours calculator</x:v>
      </x:c>
      <x:c r="L405" s="18" t="n">
        <x:v>4</x:v>
      </x:c>
      <x:c r="M405" s="18" t="str">
        <x:v>Easy</x:v>
      </x:c>
      <x:c r="N405" s="18" t="str">
        <x:v>High</x:v>
      </x:c>
      <x:c r="O405" s="18" t="str">
        <x:v>Ads / SaaS leads</x:v>
      </x:c>
      <x:c r="P405" s="30" t="n">
        <x:f>MAX(0,100-G405)</x:f>
        <x:v>29</x:v>
      </x:c>
      <x:c r="Q405" s="30" t="n">
        <x:f>MIN(100,ROUND(LOG10(D405+1)*18,0))</x:f>
        <x:v>94</x:v>
      </x:c>
      <x:c r="R405" s="30" t="n">
        <x:f>MIN(100,ROUND(E405*12,0))</x:f>
        <x:v>33</x:v>
      </x:c>
      <x:c r="S405" s="30" t="n">
        <x:f>IF(H405="No",0,ROUND(P405*0.45+Q405*0.30+R405*0.15+IF(M405="Easy",10,IF(M405="Medium",6,2))+IF(N405="High",5,IF(N405="Medium",3,0)),1))</x:f>
        <x:v>61.2</x:v>
      </x:c>
      <x:c r="T405" s="14" t="str">
        <x:f>IF(H405="No","Exclude",IF(S405&gt;=70,"Priority 1",IF(S405&gt;=55,"Priority 2",IF(S405&gt;=40,"Priority 3","Low priority"))))</x:f>
        <x:v>Priority 2</x:v>
      </x:c>
    </x:row>
    <x:row r="406">
      <x:c r="A406" s="14" t="n">
        <x:v>405</x:v>
      </x:c>
      <x:c r="B406" s="18" t="str">
        <x:v>calculator euro to dollar</x:v>
      </x:c>
      <x:c r="C406" s="18" t="str">
        <x:v>informational</x:v>
      </x:c>
      <x:c r="D406" s="26" t="n">
        <x:v>1000</x:v>
      </x:c>
      <x:c r="E406" s="28" t="n">
        <x:v>0.1</x:v>
      </x:c>
      <x:c r="F406" s="14" t="n">
        <x:v>4</x:v>
      </x:c>
      <x:c r="G406" s="14" t="n">
        <x:v>71</x:v>
      </x:c>
      <x:c r="H406" s="14" t="str">
        <x:v>Yes</x:v>
      </x:c>
      <x:c r="I406" s="18" t="str">
        <x:v>Clear calculation, conversion, estimation, or formula intent</x:v>
      </x:c>
      <x:c r="J406" s="18" t="str">
        <x:v>Conversions &amp; Units</x:v>
      </x:c>
      <x:c r="K406" s="18" t="str">
        <x:v>EUR to USD converter</x:v>
      </x:c>
      <x:c r="L406" s="18" t="n">
        <x:v>2</x:v>
      </x:c>
      <x:c r="M406" s="18" t="str">
        <x:v>Easy</x:v>
      </x:c>
      <x:c r="N406" s="18" t="str">
        <x:v>Medium</x:v>
      </x:c>
      <x:c r="O406" s="18" t="str">
        <x:v>Ads</x:v>
      </x:c>
      <x:c r="P406" s="30" t="n">
        <x:f>MAX(0,100-G406)</x:f>
        <x:v>29</x:v>
      </x:c>
      <x:c r="Q406" s="30" t="n">
        <x:f>MIN(100,ROUND(LOG10(D406+1)*18,0))</x:f>
        <x:v>54</x:v>
      </x:c>
      <x:c r="R406" s="30" t="n">
        <x:f>MIN(100,ROUND(E406*12,0))</x:f>
        <x:v>1</x:v>
      </x:c>
      <x:c r="S406" s="30" t="n">
        <x:f>IF(H406="No",0,ROUND(P406*0.45+Q406*0.30+R406*0.15+IF(M406="Easy",10,IF(M406="Medium",6,2))+IF(N406="High",5,IF(N406="Medium",3,0)),1))</x:f>
        <x:v>42.4</x:v>
      </x:c>
      <x:c r="T406" s="14" t="str">
        <x:f>IF(H406="No","Exclude",IF(S406&gt;=70,"Priority 1",IF(S406&gt;=55,"Priority 2",IF(S406&gt;=40,"Priority 3","Low priority"))))</x:f>
        <x:v>Priority 3</x:v>
      </x:c>
    </x:row>
    <x:row r="407">
      <x:c r="A407" s="14" t="n">
        <x:v>406</x:v>
      </x:c>
      <x:c r="B407" s="18" t="str">
        <x:v>calculator loan car</x:v>
      </x:c>
      <x:c r="C407" s="18" t="str">
        <x:v>navigational</x:v>
      </x:c>
      <x:c r="D407" s="26" t="n">
        <x:v>673000</x:v>
      </x:c>
      <x:c r="E407" s="28" t="n">
        <x:v>0.6</x:v>
      </x:c>
      <x:c r="F407" s="14" t="n">
        <x:v>30</x:v>
      </x:c>
      <x:c r="G407" s="14" t="n">
        <x:v>72</x:v>
      </x:c>
      <x:c r="H407" s="14" t="str">
        <x:v>Yes</x:v>
      </x:c>
      <x:c r="I407" s="18" t="str">
        <x:v>Clear calculation, conversion, estimation, or formula intent</x:v>
      </x:c>
      <x:c r="J407" s="18" t="str">
        <x:v>Loans &amp; Auto Finance</x:v>
      </x:c>
      <x:c r="K407" s="18" t="str">
        <x:v>Car loan/payment calculator</x:v>
      </x:c>
      <x:c r="L407" s="18" t="n">
        <x:v>6</x:v>
      </x:c>
      <x:c r="M407" s="18" t="str">
        <x:v>Medium</x:v>
      </x:c>
      <x:c r="N407" s="18" t="str">
        <x:v>High</x:v>
      </x:c>
      <x:c r="O407" s="18" t="str">
        <x:v>Leads / Ads / Affiliate</x:v>
      </x:c>
      <x:c r="P407" s="30" t="n">
        <x:f>MAX(0,100-G407)</x:f>
        <x:v>28</x:v>
      </x:c>
      <x:c r="Q407" s="30" t="n">
        <x:f>MIN(100,ROUND(LOG10(D407+1)*18,0))</x:f>
        <x:v>100</x:v>
      </x:c>
      <x:c r="R407" s="30" t="n">
        <x:f>MIN(100,ROUND(E407*12,0))</x:f>
        <x:v>7</x:v>
      </x:c>
      <x:c r="S407" s="30" t="n">
        <x:f>IF(H407="No",0,ROUND(P407*0.45+Q407*0.30+R407*0.15+IF(M407="Easy",10,IF(M407="Medium",6,2))+IF(N407="High",5,IF(N407="Medium",3,0)),1))</x:f>
        <x:v>54.7</x:v>
      </x:c>
      <x:c r="T407" s="14" t="str">
        <x:f>IF(H407="No","Exclude",IF(S407&gt;=70,"Priority 1",IF(S407&gt;=55,"Priority 2",IF(S407&gt;=40,"Priority 3","Low priority"))))</x:f>
        <x:v>Priority 3</x:v>
      </x:c>
    </x:row>
    <x:row r="408">
      <x:c r="A408" s="14" t="n">
        <x:v>407</x:v>
      </x:c>
      <x:c r="B408" s="18" t="str">
        <x:v>calculator odds</x:v>
      </x:c>
      <x:c r="C408" s="18" t="str">
        <x:v>navigational, informational</x:v>
      </x:c>
      <x:c r="D408" s="26" t="n">
        <x:v>74000</x:v>
      </x:c>
      <x:c r="E408" s="28" t="n">
        <x:v>45.68</x:v>
      </x:c>
      <x:c r="F408" s="14" t="n">
        <x:v>1</x:v>
      </x:c>
      <x:c r="G408" s="14" t="n">
        <x:v>72</x:v>
      </x:c>
      <x:c r="H408" s="14" t="str">
        <x:v>Yes</x:v>
      </x:c>
      <x:c r="I408" s="18" t="str">
        <x:v>Clear calculation, conversion, estimation, or formula intent</x:v>
      </x:c>
      <x:c r="J408" s="18" t="str">
        <x:v>Lifestyle &amp; Entertainment</x:v>
      </x:c>
      <x:c r="K408" s="18" t="str">
        <x:v>Odds calculator</x:v>
      </x:c>
      <x:c r="L408" s="18" t="n">
        <x:v>1</x:v>
      </x:c>
      <x:c r="M408" s="18" t="str">
        <x:v>Easy</x:v>
      </x:c>
      <x:c r="N408" s="18" t="str">
        <x:v>Medium</x:v>
      </x:c>
      <x:c r="O408" s="18" t="str">
        <x:v>Ads</x:v>
      </x:c>
      <x:c r="P408" s="30" t="n">
        <x:f>MAX(0,100-G408)</x:f>
        <x:v>28</x:v>
      </x:c>
      <x:c r="Q408" s="30" t="n">
        <x:f>MIN(100,ROUND(LOG10(D408+1)*18,0))</x:f>
        <x:v>88</x:v>
      </x:c>
      <x:c r="R408" s="30" t="n">
        <x:f>MIN(100,ROUND(E408*12,0))</x:f>
        <x:v>100</x:v>
      </x:c>
      <x:c r="S408" s="30" t="n">
        <x:f>IF(H408="No",0,ROUND(P408*0.45+Q408*0.30+R408*0.15+IF(M408="Easy",10,IF(M408="Medium",6,2))+IF(N408="High",5,IF(N408="Medium",3,0)),1))</x:f>
        <x:v>67</x:v>
      </x:c>
      <x:c r="T408" s="14" t="str">
        <x:f>IF(H408="No","Exclude",IF(S408&gt;=70,"Priority 1",IF(S408&gt;=55,"Priority 2",IF(S408&gt;=40,"Priority 3","Low priority"))))</x:f>
        <x:v>Priority 2</x:v>
      </x:c>
    </x:row>
    <x:row r="409">
      <x:c r="A409" s="14" t="n">
        <x:v>408</x:v>
      </x:c>
      <x:c r="B409" s="18" t="str">
        <x:v>calculator euro to usd</x:v>
      </x:c>
      <x:c r="C409" s="18" t="str">
        <x:v>informational</x:v>
      </x:c>
      <x:c r="D409" s="26" t="n">
        <x:v>40500</x:v>
      </x:c>
      <x:c r="E409" s="28" t="n">
        <x:v>0.03</x:v>
      </x:c>
      <x:c r="F409" s="14" t="n">
        <x:v>2</x:v>
      </x:c>
      <x:c r="G409" s="14" t="n">
        <x:v>72</x:v>
      </x:c>
      <x:c r="H409" s="14" t="str">
        <x:v>Yes</x:v>
      </x:c>
      <x:c r="I409" s="18" t="str">
        <x:v>Clear calculation, conversion, estimation, or formula intent</x:v>
      </x:c>
      <x:c r="J409" s="18" t="str">
        <x:v>Conversions &amp; Units</x:v>
      </x:c>
      <x:c r="K409" s="18" t="str">
        <x:v>EUR to USD converter</x:v>
      </x:c>
      <x:c r="L409" s="18" t="n">
        <x:v>2</x:v>
      </x:c>
      <x:c r="M409" s="18" t="str">
        <x:v>Easy</x:v>
      </x:c>
      <x:c r="N409" s="18" t="str">
        <x:v>High</x:v>
      </x:c>
      <x:c r="O409" s="18" t="str">
        <x:v>Ads</x:v>
      </x:c>
      <x:c r="P409" s="30" t="n">
        <x:f>MAX(0,100-G409)</x:f>
        <x:v>28</x:v>
      </x:c>
      <x:c r="Q409" s="30" t="n">
        <x:f>MIN(100,ROUND(LOG10(D409+1)*18,0))</x:f>
        <x:v>83</x:v>
      </x:c>
      <x:c r="R409" s="30" t="n">
        <x:f>MIN(100,ROUND(E409*12,0))</x:f>
        <x:v>0</x:v>
      </x:c>
      <x:c r="S409" s="30" t="n">
        <x:f>IF(H409="No",0,ROUND(P409*0.45+Q409*0.30+R409*0.15+IF(M409="Easy",10,IF(M409="Medium",6,2))+IF(N409="High",5,IF(N409="Medium",3,0)),1))</x:f>
        <x:v>52.5</x:v>
      </x:c>
      <x:c r="T409" s="14" t="str">
        <x:f>IF(H409="No","Exclude",IF(S409&gt;=70,"Priority 1",IF(S409&gt;=55,"Priority 2",IF(S409&gt;=40,"Priority 3","Low priority"))))</x:f>
        <x:v>Priority 3</x:v>
      </x:c>
    </x:row>
    <x:row r="410">
      <x:c r="A410" s="14" t="n">
        <x:v>409</x:v>
      </x:c>
      <x:c r="B410" s="18" t="str">
        <x:v>calculator large numbers</x:v>
      </x:c>
      <x:c r="C410" s="18" t="str">
        <x:v>commercial, transactional, informational</x:v>
      </x:c>
      <x:c r="D410" s="26" t="n">
        <x:v>6600</x:v>
      </x:c>
      <x:c r="E410" s="28" t="n">
        <x:v>0.65</x:v>
      </x:c>
      <x:c r="F410" s="14" t="n">
        <x:v>5</x:v>
      </x:c>
      <x:c r="G410" s="14" t="n">
        <x:v>72</x:v>
      </x:c>
      <x:c r="H410" s="14" t="str">
        <x:v>Yes</x:v>
      </x:c>
      <x:c r="I410" s="18" t="str">
        <x:v>Clear calculation, conversion, estimation, or formula intent</x:v>
      </x:c>
      <x:c r="J410" s="18" t="str">
        <x:v>Math &amp; Education</x:v>
      </x:c>
      <x:c r="K410" s="18" t="str">
        <x:v>Large Numbers calculator</x:v>
      </x:c>
      <x:c r="L410" s="18" t="n">
        <x:v>1</x:v>
      </x:c>
      <x:c r="M410" s="18" t="str">
        <x:v>Easy</x:v>
      </x:c>
      <x:c r="N410" s="18" t="str">
        <x:v>Medium</x:v>
      </x:c>
      <x:c r="O410" s="18" t="str">
        <x:v>Ads / EdTech</x:v>
      </x:c>
      <x:c r="P410" s="30" t="n">
        <x:f>MAX(0,100-G410)</x:f>
        <x:v>28</x:v>
      </x:c>
      <x:c r="Q410" s="30" t="n">
        <x:f>MIN(100,ROUND(LOG10(D410+1)*18,0))</x:f>
        <x:v>69</x:v>
      </x:c>
      <x:c r="R410" s="30" t="n">
        <x:f>MIN(100,ROUND(E410*12,0))</x:f>
        <x:v>8</x:v>
      </x:c>
      <x:c r="S410" s="30" t="n">
        <x:f>IF(H410="No",0,ROUND(P410*0.45+Q410*0.30+R410*0.15+IF(M410="Easy",10,IF(M410="Medium",6,2))+IF(N410="High",5,IF(N410="Medium",3,0)),1))</x:f>
        <x:v>47.5</x:v>
      </x:c>
      <x:c r="T410" s="14" t="str">
        <x:f>IF(H410="No","Exclude",IF(S410&gt;=70,"Priority 1",IF(S410&gt;=55,"Priority 2",IF(S410&gt;=40,"Priority 3","Low priority"))))</x:f>
        <x:v>Priority 3</x:v>
      </x:c>
    </x:row>
    <x:row r="411">
      <x:c r="A411" s="14" t="n">
        <x:v>410</x:v>
      </x:c>
      <x:c r="B411" s="18" t="str">
        <x:v>calculator calories to lose weight</x:v>
      </x:c>
      <x:c r="C411" s="18" t="str">
        <x:v>informational</x:v>
      </x:c>
      <x:c r="D411" s="26" t="n">
        <x:v>5400</x:v>
      </x:c>
      <x:c r="E411" s="28" t="n">
        <x:v>0.84</x:v>
      </x:c>
      <x:c r="F411" s="14" t="n">
        <x:v>27</x:v>
      </x:c>
      <x:c r="G411" s="14" t="n">
        <x:v>72</x:v>
      </x:c>
      <x:c r="H411" s="14" t="str">
        <x:v>Yes</x:v>
      </x:c>
      <x:c r="I411" s="18" t="str">
        <x:v>Clear calculation, conversion, estimation, or formula intent</x:v>
      </x:c>
      <x:c r="J411" s="18" t="str">
        <x:v>Health, Nutrition &amp; Fitness</x:v>
      </x:c>
      <x:c r="K411" s="18" t="str">
        <x:v>Calorie deficit calculator</x:v>
      </x:c>
      <x:c r="L411" s="18" t="n">
        <x:v>4</x:v>
      </x:c>
      <x:c r="M411" s="18" t="str">
        <x:v>Easy</x:v>
      </x:c>
      <x:c r="N411" s="18" t="str">
        <x:v>Medium</x:v>
      </x:c>
      <x:c r="O411" s="18" t="str">
        <x:v>Ads / Affiliate</x:v>
      </x:c>
      <x:c r="P411" s="30" t="n">
        <x:f>MAX(0,100-G411)</x:f>
        <x:v>28</x:v>
      </x:c>
      <x:c r="Q411" s="30" t="n">
        <x:f>MIN(100,ROUND(LOG10(D411+1)*18,0))</x:f>
        <x:v>67</x:v>
      </x:c>
      <x:c r="R411" s="30" t="n">
        <x:f>MIN(100,ROUND(E411*12,0))</x:f>
        <x:v>10</x:v>
      </x:c>
      <x:c r="S411" s="30" t="n">
        <x:f>IF(H411="No",0,ROUND(P411*0.45+Q411*0.30+R411*0.15+IF(M411="Easy",10,IF(M411="Medium",6,2))+IF(N411="High",5,IF(N411="Medium",3,0)),1))</x:f>
        <x:v>47.2</x:v>
      </x:c>
      <x:c r="T411" s="14" t="str">
        <x:f>IF(H411="No","Exclude",IF(S411&gt;=70,"Priority 1",IF(S411&gt;=55,"Priority 2",IF(S411&gt;=40,"Priority 3","Low priority"))))</x:f>
        <x:v>Priority 3</x:v>
      </x:c>
    </x:row>
    <x:row r="412">
      <x:c r="A412" s="14" t="n">
        <x:v>411</x:v>
      </x:c>
      <x:c r="B412" s="18" t="str">
        <x:v>calculator net mortgage</x:v>
      </x:c>
      <x:c r="C412" s="18" t="str">
        <x:v>navigational</x:v>
      </x:c>
      <x:c r="D412" s="26" t="n">
        <x:v>1900</x:v>
      </x:c>
      <x:c r="E412" s="28" t="n">
        <x:v>4.51</x:v>
      </x:c>
      <x:c r="F412" s="14" t="n">
        <x:v>4</x:v>
      </x:c>
      <x:c r="G412" s="14" t="n">
        <x:v>72</x:v>
      </x:c>
      <x:c r="H412" s="14" t="str">
        <x:v>Yes</x:v>
      </x:c>
      <x:c r="I412" s="18" t="str">
        <x:v>Clear calculation, conversion, estimation, or formula intent</x:v>
      </x:c>
      <x:c r="J412" s="18" t="str">
        <x:v>Mortgage &amp; Real Estate</x:v>
      </x:c>
      <x:c r="K412" s="18" t="str">
        <x:v>Mortgage payment calculator</x:v>
      </x:c>
      <x:c r="L412" s="18" t="n">
        <x:v>7</x:v>
      </x:c>
      <x:c r="M412" s="18" t="str">
        <x:v>Medium</x:v>
      </x:c>
      <x:c r="N412" s="18" t="str">
        <x:v>High</x:v>
      </x:c>
      <x:c r="O412" s="18" t="str">
        <x:v>Leads / Ads / Affiliate</x:v>
      </x:c>
      <x:c r="P412" s="30" t="n">
        <x:f>MAX(0,100-G412)</x:f>
        <x:v>28</x:v>
      </x:c>
      <x:c r="Q412" s="30" t="n">
        <x:f>MIN(100,ROUND(LOG10(D412+1)*18,0))</x:f>
        <x:v>59</x:v>
      </x:c>
      <x:c r="R412" s="30" t="n">
        <x:f>MIN(100,ROUND(E412*12,0))</x:f>
        <x:v>54</x:v>
      </x:c>
      <x:c r="S412" s="30" t="n">
        <x:f>IF(H412="No",0,ROUND(P412*0.45+Q412*0.30+R412*0.15+IF(M412="Easy",10,IF(M412="Medium",6,2))+IF(N412="High",5,IF(N412="Medium",3,0)),1))</x:f>
        <x:v>49.4</x:v>
      </x:c>
      <x:c r="T412" s="14" t="str">
        <x:f>IF(H412="No","Exclude",IF(S412&gt;=70,"Priority 1",IF(S412&gt;=55,"Priority 2",IF(S412&gt;=40,"Priority 3","Low priority"))))</x:f>
        <x:v>Priority 3</x:v>
      </x:c>
    </x:row>
    <x:row r="413">
      <x:c r="A413" s="14" t="n">
        <x:v>412</x:v>
      </x:c>
      <x:c r="B413" s="18" t="str">
        <x:v>calculator usd</x:v>
      </x:c>
      <x:c r="C413" s="18" t="str">
        <x:v>informational</x:v>
      </x:c>
      <x:c r="D413" s="26" t="n">
        <x:v>880</x:v>
      </x:c>
      <x:c r="E413" s="28" t="n">
        <x:v>0.01</x:v>
      </x:c>
      <x:c r="F413" s="14" t="n">
        <x:v>1</x:v>
      </x:c>
      <x:c r="G413" s="14" t="n">
        <x:v>72</x:v>
      </x:c>
      <x:c r="H413" s="14" t="str">
        <x:v>Maybe</x:v>
      </x:c>
      <x:c r="I413" s="18" t="str">
        <x:v>Potential calculator intent, but keyword meaning is broad or ambiguous</x:v>
      </x:c>
      <x:c r="J413" s="18" t="str">
        <x:v>General / Other</x:v>
      </x:c>
      <x:c r="K413" s="18" t="str">
        <x:v>Usd calculator</x:v>
      </x:c>
      <x:c r="L413" s="18" t="n">
        <x:v>1</x:v>
      </x:c>
      <x:c r="M413" s="18" t="str">
        <x:v>Easy</x:v>
      </x:c>
      <x:c r="N413" s="18" t="str">
        <x:v>High</x:v>
      </x:c>
      <x:c r="O413" s="18" t="str">
        <x:v>Ads</x:v>
      </x:c>
      <x:c r="P413" s="30" t="n">
        <x:f>MAX(0,100-G413)</x:f>
        <x:v>28</x:v>
      </x:c>
      <x:c r="Q413" s="30" t="n">
        <x:f>MIN(100,ROUND(LOG10(D413+1)*18,0))</x:f>
        <x:v>53</x:v>
      </x:c>
      <x:c r="R413" s="30" t="n">
        <x:f>MIN(100,ROUND(E413*12,0))</x:f>
        <x:v>0</x:v>
      </x:c>
      <x:c r="S413" s="30" t="n">
        <x:f>IF(H413="No",0,ROUND(P413*0.45+Q413*0.30+R413*0.15+IF(M413="Easy",10,IF(M413="Medium",6,2))+IF(N413="High",5,IF(N413="Medium",3,0)),1))</x:f>
        <x:v>43.5</x:v>
      </x:c>
      <x:c r="T413" s="14" t="str">
        <x:f>IF(H413="No","Exclude",IF(S413&gt;=70,"Priority 1",IF(S413&gt;=55,"Priority 2",IF(S413&gt;=40,"Priority 3","Low priority"))))</x:f>
        <x:v>Priority 3</x:v>
      </x:c>
    </x:row>
    <x:row r="414">
      <x:c r="A414" s="14" t="n">
        <x:v>413</x:v>
      </x:c>
      <x:c r="B414" s="18" t="str">
        <x:v>calculator to lose weight</x:v>
      </x:c>
      <x:c r="C414" s="18" t="str">
        <x:v>informational</x:v>
      </x:c>
      <x:c r="D414" s="26" t="n">
        <x:v>480</x:v>
      </x:c>
      <x:c r="E414" s="28" t="n">
        <x:v>1.02</x:v>
      </x:c>
      <x:c r="F414" s="14" t="n">
        <x:v>34</x:v>
      </x:c>
      <x:c r="G414" s="14" t="n">
        <x:v>72</x:v>
      </x:c>
      <x:c r="H414" s="14" t="str">
        <x:v>Yes</x:v>
      </x:c>
      <x:c r="I414" s="18" t="str">
        <x:v>Clear calculation, conversion, estimation, or formula intent</x:v>
      </x:c>
      <x:c r="J414" s="18" t="str">
        <x:v>Health, Nutrition &amp; Fitness</x:v>
      </x:c>
      <x:c r="K414" s="18" t="str">
        <x:v>Calorie deficit calculator</x:v>
      </x:c>
      <x:c r="L414" s="18" t="n">
        <x:v>4</x:v>
      </x:c>
      <x:c r="M414" s="18" t="str">
        <x:v>Easy</x:v>
      </x:c>
      <x:c r="N414" s="18" t="str">
        <x:v>Medium</x:v>
      </x:c>
      <x:c r="O414" s="18" t="str">
        <x:v>Ads / Affiliate</x:v>
      </x:c>
      <x:c r="P414" s="30" t="n">
        <x:f>MAX(0,100-G414)</x:f>
        <x:v>28</x:v>
      </x:c>
      <x:c r="Q414" s="30" t="n">
        <x:f>MIN(100,ROUND(LOG10(D414+1)*18,0))</x:f>
        <x:v>48</x:v>
      </x:c>
      <x:c r="R414" s="30" t="n">
        <x:f>MIN(100,ROUND(E414*12,0))</x:f>
        <x:v>12</x:v>
      </x:c>
      <x:c r="S414" s="30" t="n">
        <x:f>IF(H414="No",0,ROUND(P414*0.45+Q414*0.30+R414*0.15+IF(M414="Easy",10,IF(M414="Medium",6,2))+IF(N414="High",5,IF(N414="Medium",3,0)),1))</x:f>
        <x:v>41.8</x:v>
      </x:c>
      <x:c r="T414" s="14" t="str">
        <x:f>IF(H414="No","Exclude",IF(S414&gt;=70,"Priority 1",IF(S414&gt;=55,"Priority 2",IF(S414&gt;=40,"Priority 3","Low priority"))))</x:f>
        <x:v>Priority 3</x:v>
      </x:c>
    </x:row>
    <x:row r="415">
      <x:c r="A415" s="14" t="n">
        <x:v>414</x:v>
      </x:c>
      <x:c r="B415" s="18" t="str">
        <x:v>calculator desmos</x:v>
      </x:c>
      <x:c r="C415" s="18" t="str">
        <x:v>null</x:v>
      </x:c>
      <x:c r="D415" s="26" t="n">
        <x:v>8100</x:v>
      </x:c>
      <x:c r="E415" s="28" t="n">
        <x:v>0</x:v>
      </x:c>
      <x:c r="F415" s="14" t="n">
        <x:v>1</x:v>
      </x:c>
      <x:c r="G415" s="14" t="n">
        <x:v>73</x:v>
      </x:c>
      <x:c r="H415" s="14" t="str">
        <x:v>No</x:v>
      </x:c>
      <x:c r="I415" s="18" t="str">
        <x:v>App/product/brand/navigation/media intent rather than a calculation</x:v>
      </x:c>
      <x:c r="J415" s="18" t="str">
        <x:v>Excluded / Non-calculator</x:v>
      </x:c>
      <x:c r="K415" s="18" t="str"/>
      <x:c r="L415" s="18" t="n">
        <x:v>0</x:v>
      </x:c>
      <x:c r="M415" s="18" t="str"/>
      <x:c r="N415" s="18" t="str"/>
      <x:c r="O415" s="18" t="str"/>
      <x:c r="P415" s="30" t="n">
        <x:f>MAX(0,100-G415)</x:f>
        <x:v>27</x:v>
      </x:c>
      <x:c r="Q415" s="30" t="n">
        <x:f>MIN(100,ROUND(LOG10(D415+1)*18,0))</x:f>
        <x:v>70</x:v>
      </x:c>
      <x:c r="R415" s="30" t="n">
        <x:f>MIN(100,ROUND(E415*12,0))</x:f>
        <x:v>0</x:v>
      </x:c>
      <x:c r="S415" s="30" t="n">
        <x:f>IF(H415="No",0,ROUND(P415*0.45+Q415*0.30+R415*0.15+IF(M415="Easy",10,IF(M415="Medium",6,2))+IF(N415="High",5,IF(N415="Medium",3,0)),1))</x:f>
        <x:v>0</x:v>
      </x:c>
      <x:c r="T415" s="14" t="str">
        <x:f>IF(H415="No","Exclude",IF(S415&gt;=70,"Priority 1",IF(S415&gt;=55,"Priority 2",IF(S415&gt;=40,"Priority 3","Low priority"))))</x:f>
        <x:v>Exclude</x:v>
      </x:c>
    </x:row>
    <x:row r="416">
      <x:c r="A416" s="14" t="n">
        <x:v>415</x:v>
      </x:c>
      <x:c r="B416" s="18" t="str">
        <x:v>calculator loan payment</x:v>
      </x:c>
      <x:c r="C416" s="18" t="str">
        <x:v>navigational</x:v>
      </x:c>
      <x:c r="D416" s="26" t="n">
        <x:v>135000</x:v>
      </x:c>
      <x:c r="E416" s="28" t="n">
        <x:v>2.55</x:v>
      </x:c>
      <x:c r="F416" s="14" t="n">
        <x:v>25</x:v>
      </x:c>
      <x:c r="G416" s="14" t="n">
        <x:v>74</x:v>
      </x:c>
      <x:c r="H416" s="14" t="str">
        <x:v>Yes</x:v>
      </x:c>
      <x:c r="I416" s="18" t="str">
        <x:v>Clear calculation, conversion, estimation, or formula intent</x:v>
      </x:c>
      <x:c r="J416" s="18" t="str">
        <x:v>Loans &amp; Auto Finance</x:v>
      </x:c>
      <x:c r="K416" s="18" t="str">
        <x:v>Loan Payment calculator</x:v>
      </x:c>
      <x:c r="L416" s="18" t="n">
        <x:v>1</x:v>
      </x:c>
      <x:c r="M416" s="18" t="str">
        <x:v>Medium</x:v>
      </x:c>
      <x:c r="N416" s="18" t="str">
        <x:v>High</x:v>
      </x:c>
      <x:c r="O416" s="18" t="str">
        <x:v>Leads / Ads / Affiliate</x:v>
      </x:c>
      <x:c r="P416" s="30" t="n">
        <x:f>MAX(0,100-G416)</x:f>
        <x:v>26</x:v>
      </x:c>
      <x:c r="Q416" s="30" t="n">
        <x:f>MIN(100,ROUND(LOG10(D416+1)*18,0))</x:f>
        <x:v>92</x:v>
      </x:c>
      <x:c r="R416" s="30" t="n">
        <x:f>MIN(100,ROUND(E416*12,0))</x:f>
        <x:v>31</x:v>
      </x:c>
      <x:c r="S416" s="30" t="n">
        <x:f>IF(H416="No",0,ROUND(P416*0.45+Q416*0.30+R416*0.15+IF(M416="Easy",10,IF(M416="Medium",6,2))+IF(N416="High",5,IF(N416="Medium",3,0)),1))</x:f>
        <x:v>55</x:v>
      </x:c>
      <x:c r="T416" s="14" t="str">
        <x:f>IF(H416="No","Exclude",IF(S416&gt;=70,"Priority 1",IF(S416&gt;=55,"Priority 2",IF(S416&gt;=40,"Priority 3","Low priority"))))</x:f>
        <x:v>Priority 2</x:v>
      </x:c>
    </x:row>
    <x:row r="417">
      <x:c r="A417" s="14" t="n">
        <x:v>416</x:v>
      </x:c>
      <x:c r="B417" s="18" t="str">
        <x:v>calculator between dates</x:v>
      </x:c>
      <x:c r="C417" s="18" t="str">
        <x:v>informational</x:v>
      </x:c>
      <x:c r="D417" s="26" t="n">
        <x:v>14800</x:v>
      </x:c>
      <x:c r="E417" s="28" t="n">
        <x:v>0</x:v>
      </x:c>
      <x:c r="F417" s="14" t="n">
        <x:v>1</x:v>
      </x:c>
      <x:c r="G417" s="14" t="n">
        <x:v>74</x:v>
      </x:c>
      <x:c r="H417" s="14" t="str">
        <x:v>Yes</x:v>
      </x:c>
      <x:c r="I417" s="18" t="str">
        <x:v>Clear calculation, conversion, estimation, or formula intent</x:v>
      </x:c>
      <x:c r="J417" s="18" t="str">
        <x:v>Date &amp; Time</x:v>
      </x:c>
      <x:c r="K417" s="18" t="str">
        <x:v>Date difference calculator</x:v>
      </x:c>
      <x:c r="L417" s="18" t="n">
        <x:v>4</x:v>
      </x:c>
      <x:c r="M417" s="18" t="str">
        <x:v>Easy</x:v>
      </x:c>
      <x:c r="N417" s="18" t="str">
        <x:v>Medium</x:v>
      </x:c>
      <x:c r="O417" s="18" t="str">
        <x:v>Ads</x:v>
      </x:c>
      <x:c r="P417" s="30" t="n">
        <x:f>MAX(0,100-G417)</x:f>
        <x:v>26</x:v>
      </x:c>
      <x:c r="Q417" s="30" t="n">
        <x:f>MIN(100,ROUND(LOG10(D417+1)*18,0))</x:f>
        <x:v>75</x:v>
      </x:c>
      <x:c r="R417" s="30" t="n">
        <x:f>MIN(100,ROUND(E417*12,0))</x:f>
        <x:v>0</x:v>
      </x:c>
      <x:c r="S417" s="30" t="n">
        <x:f>IF(H417="No",0,ROUND(P417*0.45+Q417*0.30+R417*0.15+IF(M417="Easy",10,IF(M417="Medium",6,2))+IF(N417="High",5,IF(N417="Medium",3,0)),1))</x:f>
        <x:v>47.2</x:v>
      </x:c>
      <x:c r="T417" s="14" t="str">
        <x:f>IF(H417="No","Exclude",IF(S417&gt;=70,"Priority 1",IF(S417&gt;=55,"Priority 2",IF(S417&gt;=40,"Priority 3","Low priority"))))</x:f>
        <x:v>Priority 3</x:v>
      </x:c>
    </x:row>
    <x:row r="418">
      <x:c r="A418" s="14" t="n">
        <x:v>417</x:v>
      </x:c>
      <x:c r="B418" s="18" t="str">
        <x:v>calculator date</x:v>
      </x:c>
      <x:c r="C418" s="18" t="str">
        <x:v>informational</x:v>
      </x:c>
      <x:c r="D418" s="26" t="n">
        <x:v>673000</x:v>
      </x:c>
      <x:c r="E418" s="28" t="n">
        <x:v>4.59</x:v>
      </x:c>
      <x:c r="F418" s="14" t="n">
        <x:v>1</x:v>
      </x:c>
      <x:c r="G418" s="14" t="n">
        <x:v>76</x:v>
      </x:c>
      <x:c r="H418" s="14" t="str">
        <x:v>Yes</x:v>
      </x:c>
      <x:c r="I418" s="18" t="str">
        <x:v>Clear calculation, conversion, estimation, or formula intent</x:v>
      </x:c>
      <x:c r="J418" s="18" t="str">
        <x:v>Date &amp; Time</x:v>
      </x:c>
      <x:c r="K418" s="18" t="str">
        <x:v>Date calculator</x:v>
      </x:c>
      <x:c r="L418" s="18" t="n">
        <x:v>9</x:v>
      </x:c>
      <x:c r="M418" s="18" t="str">
        <x:v>Easy</x:v>
      </x:c>
      <x:c r="N418" s="18" t="str">
        <x:v>Medium</x:v>
      </x:c>
      <x:c r="O418" s="18" t="str">
        <x:v>Ads</x:v>
      </x:c>
      <x:c r="P418" s="30" t="n">
        <x:f>MAX(0,100-G418)</x:f>
        <x:v>24</x:v>
      </x:c>
      <x:c r="Q418" s="30" t="n">
        <x:f>MIN(100,ROUND(LOG10(D418+1)*18,0))</x:f>
        <x:v>100</x:v>
      </x:c>
      <x:c r="R418" s="30" t="n">
        <x:f>MIN(100,ROUND(E418*12,0))</x:f>
        <x:v>55</x:v>
      </x:c>
      <x:c r="S418" s="30" t="n">
        <x:f>IF(H418="No",0,ROUND(P418*0.45+Q418*0.30+R418*0.15+IF(M418="Easy",10,IF(M418="Medium",6,2))+IF(N418="High",5,IF(N418="Medium",3,0)),1))</x:f>
        <x:v>62.1</x:v>
      </x:c>
      <x:c r="T418" s="14" t="str">
        <x:f>IF(H418="No","Exclude",IF(S418&gt;=70,"Priority 1",IF(S418&gt;=55,"Priority 2",IF(S418&gt;=40,"Priority 3","Low priority"))))</x:f>
        <x:v>Priority 2</x:v>
      </x:c>
    </x:row>
    <x:row r="419">
      <x:c r="A419" s="14" t="n">
        <x:v>418</x:v>
      </x:c>
      <x:c r="B419" s="18" t="str">
        <x:v>calculator home loan</x:v>
      </x:c>
      <x:c r="C419" s="18" t="str">
        <x:v>navigational</x:v>
      </x:c>
      <x:c r="D419" s="26" t="n">
        <x:v>110000</x:v>
      </x:c>
      <x:c r="E419" s="28" t="n">
        <x:v>3.77</x:v>
      </x:c>
      <x:c r="F419" s="14" t="n">
        <x:v>53</x:v>
      </x:c>
      <x:c r="G419" s="14" t="n">
        <x:v>76</x:v>
      </x:c>
      <x:c r="H419" s="14" t="str">
        <x:v>Yes</x:v>
      </x:c>
      <x:c r="I419" s="18" t="str">
        <x:v>Clear calculation, conversion, estimation, or formula intent</x:v>
      </x:c>
      <x:c r="J419" s="18" t="str">
        <x:v>Mortgage &amp; Real Estate</x:v>
      </x:c>
      <x:c r="K419" s="18" t="str">
        <x:v>Mortgage payment calculator</x:v>
      </x:c>
      <x:c r="L419" s="18" t="n">
        <x:v>7</x:v>
      </x:c>
      <x:c r="M419" s="18" t="str">
        <x:v>Medium</x:v>
      </x:c>
      <x:c r="N419" s="18" t="str">
        <x:v>High</x:v>
      </x:c>
      <x:c r="O419" s="18" t="str">
        <x:v>Leads / Ads / Affiliate</x:v>
      </x:c>
      <x:c r="P419" s="30" t="n">
        <x:f>MAX(0,100-G419)</x:f>
        <x:v>24</x:v>
      </x:c>
      <x:c r="Q419" s="30" t="n">
        <x:f>MIN(100,ROUND(LOG10(D419+1)*18,0))</x:f>
        <x:v>91</x:v>
      </x:c>
      <x:c r="R419" s="30" t="n">
        <x:f>MIN(100,ROUND(E419*12,0))</x:f>
        <x:v>45</x:v>
      </x:c>
      <x:c r="S419" s="30" t="n">
        <x:f>IF(H419="No",0,ROUND(P419*0.45+Q419*0.30+R419*0.15+IF(M419="Easy",10,IF(M419="Medium",6,2))+IF(N419="High",5,IF(N419="Medium",3,0)),1))</x:f>
        <x:v>55.9</x:v>
      </x:c>
      <x:c r="T419" s="14" t="str">
        <x:f>IF(H419="No","Exclude",IF(S419&gt;=70,"Priority 1",IF(S419&gt;=55,"Priority 2",IF(S419&gt;=40,"Priority 3","Low priority"))))</x:f>
        <x:v>Priority 2</x:v>
      </x:c>
    </x:row>
    <x:row r="420">
      <x:c r="A420" s="14" t="n">
        <x:v>419</x:v>
      </x:c>
      <x:c r="B420" s="18" t="str">
        <x:v>calculator between two dates</x:v>
      </x:c>
      <x:c r="C420" s="18" t="str">
        <x:v>informational</x:v>
      </x:c>
      <x:c r="D420" s="26" t="n">
        <x:v>14800</x:v>
      </x:c>
      <x:c r="E420" s="28" t="n">
        <x:v>0.02</x:v>
      </x:c>
      <x:c r="F420" s="14" t="n">
        <x:v>1</x:v>
      </x:c>
      <x:c r="G420" s="14" t="n">
        <x:v>76</x:v>
      </x:c>
      <x:c r="H420" s="14" t="str">
        <x:v>Yes</x:v>
      </x:c>
      <x:c r="I420" s="18" t="str">
        <x:v>Clear calculation, conversion, estimation, or formula intent</x:v>
      </x:c>
      <x:c r="J420" s="18" t="str">
        <x:v>Date &amp; Time</x:v>
      </x:c>
      <x:c r="K420" s="18" t="str">
        <x:v>Date difference calculator</x:v>
      </x:c>
      <x:c r="L420" s="18" t="n">
        <x:v>4</x:v>
      </x:c>
      <x:c r="M420" s="18" t="str">
        <x:v>Easy</x:v>
      </x:c>
      <x:c r="N420" s="18" t="str">
        <x:v>Medium</x:v>
      </x:c>
      <x:c r="O420" s="18" t="str">
        <x:v>Ads</x:v>
      </x:c>
      <x:c r="P420" s="30" t="n">
        <x:f>MAX(0,100-G420)</x:f>
        <x:v>24</x:v>
      </x:c>
      <x:c r="Q420" s="30" t="n">
        <x:f>MIN(100,ROUND(LOG10(D420+1)*18,0))</x:f>
        <x:v>75</x:v>
      </x:c>
      <x:c r="R420" s="30" t="n">
        <x:f>MIN(100,ROUND(E420*12,0))</x:f>
        <x:v>0</x:v>
      </x:c>
      <x:c r="S420" s="30" t="n">
        <x:f>IF(H420="No",0,ROUND(P420*0.45+Q420*0.30+R420*0.15+IF(M420="Easy",10,IF(M420="Medium",6,2))+IF(N420="High",5,IF(N420="Medium",3,0)),1))</x:f>
        <x:v>46.3</x:v>
      </x:c>
      <x:c r="T420" s="14" t="str">
        <x:f>IF(H420="No","Exclude",IF(S420&gt;=70,"Priority 1",IF(S420&gt;=55,"Priority 2",IF(S420&gt;=40,"Priority 3","Low priority"))))</x:f>
        <x:v>Priority 3</x:v>
      </x:c>
    </x:row>
    <x:row r="421">
      <x:c r="A421" s="14" t="n">
        <x:v>420</x:v>
      </x:c>
      <x:c r="B421" s="18" t="str">
        <x:v>calculator estimate</x:v>
      </x:c>
      <x:c r="C421" s="18" t="str">
        <x:v>navigational, informational</x:v>
      </x:c>
      <x:c r="D421" s="26" t="n">
        <x:v>210</x:v>
      </x:c>
      <x:c r="E421" s="28" t="n">
        <x:v>1.09</x:v>
      </x:c>
      <x:c r="F421" s="14" t="n">
        <x:v>18</x:v>
      </x:c>
      <x:c r="G421" s="14" t="n">
        <x:v>76</x:v>
      </x:c>
      <x:c r="H421" s="14" t="str">
        <x:v>Maybe</x:v>
      </x:c>
      <x:c r="I421" s="18" t="str">
        <x:v>Potential calculator intent, but keyword meaning is broad or ambiguous</x:v>
      </x:c>
      <x:c r="J421" s="18" t="str">
        <x:v>General / Other</x:v>
      </x:c>
      <x:c r="K421" s="18" t="str">
        <x:v>Estimate calculator</x:v>
      </x:c>
      <x:c r="L421" s="18" t="n">
        <x:v>1</x:v>
      </x:c>
      <x:c r="M421" s="18" t="str">
        <x:v>Easy</x:v>
      </x:c>
      <x:c r="N421" s="18" t="str">
        <x:v>Medium</x:v>
      </x:c>
      <x:c r="O421" s="18" t="str">
        <x:v>Ads</x:v>
      </x:c>
      <x:c r="P421" s="30" t="n">
        <x:f>MAX(0,100-G421)</x:f>
        <x:v>24</x:v>
      </x:c>
      <x:c r="Q421" s="30" t="n">
        <x:f>MIN(100,ROUND(LOG10(D421+1)*18,0))</x:f>
        <x:v>42</x:v>
      </x:c>
      <x:c r="R421" s="30" t="n">
        <x:f>MIN(100,ROUND(E421*12,0))</x:f>
        <x:v>13</x:v>
      </x:c>
      <x:c r="S421" s="30" t="n">
        <x:f>IF(H421="No",0,ROUND(P421*0.45+Q421*0.30+R421*0.15+IF(M421="Easy",10,IF(M421="Medium",6,2))+IF(N421="High",5,IF(N421="Medium",3,0)),1))</x:f>
        <x:v>38.3</x:v>
      </x:c>
      <x:c r="T421" s="14" t="str">
        <x:f>IF(H421="No","Exclude",IF(S421&gt;=70,"Priority 1",IF(S421&gt;=55,"Priority 2",IF(S421&gt;=40,"Priority 3","Low priority"))))</x:f>
        <x:v>Low priority</x:v>
      </x:c>
    </x:row>
    <x:row r="422">
      <x:c r="A422" s="14" t="n">
        <x:v>421</x:v>
      </x:c>
      <x:c r="B422" s="18" t="str">
        <x:v>calculator 23</x:v>
      </x:c>
      <x:c r="C422" s="18" t="str">
        <x:v>navigational, commercial</x:v>
      </x:c>
      <x:c r="D422" s="26" t="n">
        <x:v>50</x:v>
      </x:c>
      <x:c r="E422" s="28" t="n">
        <x:v>0</x:v>
      </x:c>
      <x:c r="F422" s="14" t="n">
        <x:v>1</x:v>
      </x:c>
      <x:c r="G422" s="14" t="n">
        <x:v>76</x:v>
      </x:c>
      <x:c r="H422" s="14" t="str">
        <x:v>No</x:v>
      </x:c>
      <x:c r="I422" s="18" t="str">
        <x:v>Model/number query, not a distinct web calculator</x:v>
      </x:c>
      <x:c r="J422" s="18" t="str">
        <x:v>Excluded / Non-calculator</x:v>
      </x:c>
      <x:c r="K422" s="18" t="str"/>
      <x:c r="L422" s="18" t="n">
        <x:v>0</x:v>
      </x:c>
      <x:c r="M422" s="18" t="str"/>
      <x:c r="N422" s="18" t="str"/>
      <x:c r="O422" s="18" t="str"/>
      <x:c r="P422" s="30" t="n">
        <x:f>MAX(0,100-G422)</x:f>
        <x:v>24</x:v>
      </x:c>
      <x:c r="Q422" s="30" t="n">
        <x:f>MIN(100,ROUND(LOG10(D422+1)*18,0))</x:f>
        <x:v>31</x:v>
      </x:c>
      <x:c r="R422" s="30" t="n">
        <x:f>MIN(100,ROUND(E422*12,0))</x:f>
        <x:v>0</x:v>
      </x:c>
      <x:c r="S422" s="30" t="n">
        <x:f>IF(H422="No",0,ROUND(P422*0.45+Q422*0.30+R422*0.15+IF(M422="Easy",10,IF(M422="Medium",6,2))+IF(N422="High",5,IF(N422="Medium",3,0)),1))</x:f>
        <x:v>0</x:v>
      </x:c>
      <x:c r="T422" s="14" t="str">
        <x:f>IF(H422="No","Exclude",IF(S422&gt;=70,"Priority 1",IF(S422&gt;=55,"Priority 2",IF(S422&gt;=40,"Priority 3","Low priority"))))</x:f>
        <x:v>Exclude</x:v>
      </x:c>
    </x:row>
    <x:row r="423">
      <x:c r="A423" s="14" t="n">
        <x:v>422</x:v>
      </x:c>
      <x:c r="B423" s="18" t="str">
        <x:v>calculator house payment</x:v>
      </x:c>
      <x:c r="C423" s="18" t="str">
        <x:v>navigational, commercial</x:v>
      </x:c>
      <x:c r="D423" s="26" t="n">
        <x:v>49500</x:v>
      </x:c>
      <x:c r="E423" s="28" t="n">
        <x:v>1.25</x:v>
      </x:c>
      <x:c r="F423" s="14" t="n">
        <x:v>50</x:v>
      </x:c>
      <x:c r="G423" s="14" t="n">
        <x:v>78</x:v>
      </x:c>
      <x:c r="H423" s="14" t="str">
        <x:v>Yes</x:v>
      </x:c>
      <x:c r="I423" s="18" t="str">
        <x:v>Clear calculation, conversion, estimation, or formula intent</x:v>
      </x:c>
      <x:c r="J423" s="18" t="str">
        <x:v>Mortgage &amp; Real Estate</x:v>
      </x:c>
      <x:c r="K423" s="18" t="str">
        <x:v>Mortgage payment calculator</x:v>
      </x:c>
      <x:c r="L423" s="18" t="n">
        <x:v>7</x:v>
      </x:c>
      <x:c r="M423" s="18" t="str">
        <x:v>Easy</x:v>
      </x:c>
      <x:c r="N423" s="18" t="str">
        <x:v>High</x:v>
      </x:c>
      <x:c r="O423" s="18" t="str">
        <x:v>Leads / Ads / Affiliate</x:v>
      </x:c>
      <x:c r="P423" s="30" t="n">
        <x:f>MAX(0,100-G423)</x:f>
        <x:v>22</x:v>
      </x:c>
      <x:c r="Q423" s="30" t="n">
        <x:f>MIN(100,ROUND(LOG10(D423+1)*18,0))</x:f>
        <x:v>85</x:v>
      </x:c>
      <x:c r="R423" s="30" t="n">
        <x:f>MIN(100,ROUND(E423*12,0))</x:f>
        <x:v>15</x:v>
      </x:c>
      <x:c r="S423" s="30" t="n">
        <x:f>IF(H423="No",0,ROUND(P423*0.45+Q423*0.30+R423*0.15+IF(M423="Easy",10,IF(M423="Medium",6,2))+IF(N423="High",5,IF(N423="Medium",3,0)),1))</x:f>
        <x:v>52.7</x:v>
      </x:c>
      <x:c r="T423" s="14" t="str">
        <x:f>IF(H423="No","Exclude",IF(S423&gt;=70,"Priority 1",IF(S423&gt;=55,"Priority 2",IF(S423&gt;=40,"Priority 3","Low priority"))))</x:f>
        <x:v>Priority 3</x:v>
      </x:c>
    </x:row>
    <x:row r="424">
      <x:c r="A424" s="14" t="n">
        <x:v>423</x:v>
      </x:c>
      <x:c r="B424" s="18" t="str">
        <x:v>calculator free</x:v>
      </x:c>
      <x:c r="C424" s="18" t="str">
        <x:v>informational</x:v>
      </x:c>
      <x:c r="D424" s="26" t="n">
        <x:v>40500</x:v>
      </x:c>
      <x:c r="E424" s="28" t="n">
        <x:v>1.53</x:v>
      </x:c>
      <x:c r="F424" s="14" t="n">
        <x:v>3</x:v>
      </x:c>
      <x:c r="G424" s="14" t="n">
        <x:v>78</x:v>
      </x:c>
      <x:c r="H424" s="14" t="str">
        <x:v>No</x:v>
      </x:c>
      <x:c r="I424" s="18" t="str">
        <x:v>App/product/brand/navigation/media intent rather than a calculation</x:v>
      </x:c>
      <x:c r="J424" s="18" t="str">
        <x:v>Excluded / Non-calculator</x:v>
      </x:c>
      <x:c r="K424" s="18" t="str"/>
      <x:c r="L424" s="18" t="n">
        <x:v>0</x:v>
      </x:c>
      <x:c r="M424" s="18" t="str"/>
      <x:c r="N424" s="18" t="str"/>
      <x:c r="O424" s="18" t="str"/>
      <x:c r="P424" s="30" t="n">
        <x:f>MAX(0,100-G424)</x:f>
        <x:v>22</x:v>
      </x:c>
      <x:c r="Q424" s="30" t="n">
        <x:f>MIN(100,ROUND(LOG10(D424+1)*18,0))</x:f>
        <x:v>83</x:v>
      </x:c>
      <x:c r="R424" s="30" t="n">
        <x:f>MIN(100,ROUND(E424*12,0))</x:f>
        <x:v>18</x:v>
      </x:c>
      <x:c r="S424" s="30" t="n">
        <x:f>IF(H424="No",0,ROUND(P424*0.45+Q424*0.30+R424*0.15+IF(M424="Easy",10,IF(M424="Medium",6,2))+IF(N424="High",5,IF(N424="Medium",3,0)),1))</x:f>
        <x:v>0</x:v>
      </x:c>
      <x:c r="T424" s="14" t="str">
        <x:f>IF(H424="No","Exclude",IF(S424&gt;=70,"Priority 1",IF(S424&gt;=55,"Priority 2",IF(S424&gt;=40,"Priority 3","Low priority"))))</x:f>
        <x:v>Exclude</x:v>
      </x:c>
    </x:row>
    <x:row r="425">
      <x:c r="A425" s="14" t="n">
        <x:v>424</x:v>
      </x:c>
      <x:c r="B425" s="18" t="str">
        <x:v>calculator years</x:v>
      </x:c>
      <x:c r="C425" s="18" t="str">
        <x:v>informational, navigational</x:v>
      </x:c>
      <x:c r="D425" s="26" t="n">
        <x:v>9900</x:v>
      </x:c>
      <x:c r="E425" s="28" t="n">
        <x:v>0.04</x:v>
      </x:c>
      <x:c r="F425" s="14" t="n">
        <x:v>1</x:v>
      </x:c>
      <x:c r="G425" s="14" t="n">
        <x:v>78</x:v>
      </x:c>
      <x:c r="H425" s="14" t="str">
        <x:v>Yes</x:v>
      </x:c>
      <x:c r="I425" s="18" t="str">
        <x:v>Clear calculation, conversion, estimation, or formula intent</x:v>
      </x:c>
      <x:c r="J425" s="18" t="str">
        <x:v>Date &amp; Time</x:v>
      </x:c>
      <x:c r="K425" s="18" t="str">
        <x:v>Years calculator</x:v>
      </x:c>
      <x:c r="L425" s="18" t="n">
        <x:v>1</x:v>
      </x:c>
      <x:c r="M425" s="18" t="str">
        <x:v>Easy</x:v>
      </x:c>
      <x:c r="N425" s="18" t="str">
        <x:v>Medium</x:v>
      </x:c>
      <x:c r="O425" s="18" t="str">
        <x:v>Ads</x:v>
      </x:c>
      <x:c r="P425" s="30" t="n">
        <x:f>MAX(0,100-G425)</x:f>
        <x:v>22</x:v>
      </x:c>
      <x:c r="Q425" s="30" t="n">
        <x:f>MIN(100,ROUND(LOG10(D425+1)*18,0))</x:f>
        <x:v>72</x:v>
      </x:c>
      <x:c r="R425" s="30" t="n">
        <x:f>MIN(100,ROUND(E425*12,0))</x:f>
        <x:v>0</x:v>
      </x:c>
      <x:c r="S425" s="30" t="n">
        <x:f>IF(H425="No",0,ROUND(P425*0.45+Q425*0.30+R425*0.15+IF(M425="Easy",10,IF(M425="Medium",6,2))+IF(N425="High",5,IF(N425="Medium",3,0)),1))</x:f>
        <x:v>44.5</x:v>
      </x:c>
      <x:c r="T425" s="14" t="str">
        <x:f>IF(H425="No","Exclude",IF(S425&gt;=70,"Priority 1",IF(S425&gt;=55,"Priority 2",IF(S425&gt;=40,"Priority 3","Low priority"))))</x:f>
        <x:v>Priority 3</x:v>
      </x:c>
    </x:row>
    <x:row r="426">
      <x:c r="A426" s="14" t="n">
        <x:v>425</x:v>
      </x:c>
      <x:c r="B426" s="18" t="str">
        <x:v>calculator for buying a house</x:v>
      </x:c>
      <x:c r="C426" s="18" t="str">
        <x:v>commercial, navigational</x:v>
      </x:c>
      <x:c r="D426" s="26" t="n">
        <x:v>8100</x:v>
      </x:c>
      <x:c r="E426" s="28" t="n">
        <x:v>4.57</x:v>
      </x:c>
      <x:c r="F426" s="14" t="n">
        <x:v>72</x:v>
      </x:c>
      <x:c r="G426" s="14" t="n">
        <x:v>79</x:v>
      </x:c>
      <x:c r="H426" s="14" t="str">
        <x:v>Yes</x:v>
      </x:c>
      <x:c r="I426" s="18" t="str">
        <x:v>Clear calculation, conversion, estimation, or formula intent</x:v>
      </x:c>
      <x:c r="J426" s="18" t="str">
        <x:v>Mortgage &amp; Real Estate</x:v>
      </x:c>
      <x:c r="K426" s="18" t="str">
        <x:v>Buying A House calculator</x:v>
      </x:c>
      <x:c r="L426" s="18" t="n">
        <x:v>1</x:v>
      </x:c>
      <x:c r="M426" s="18" t="str">
        <x:v>Easy</x:v>
      </x:c>
      <x:c r="N426" s="18" t="str">
        <x:v>High</x:v>
      </x:c>
      <x:c r="O426" s="18" t="str">
        <x:v>Leads / Ads / Affiliate</x:v>
      </x:c>
      <x:c r="P426" s="30" t="n">
        <x:f>MAX(0,100-G426)</x:f>
        <x:v>21</x:v>
      </x:c>
      <x:c r="Q426" s="30" t="n">
        <x:f>MIN(100,ROUND(LOG10(D426+1)*18,0))</x:f>
        <x:v>70</x:v>
      </x:c>
      <x:c r="R426" s="30" t="n">
        <x:f>MIN(100,ROUND(E426*12,0))</x:f>
        <x:v>55</x:v>
      </x:c>
      <x:c r="S426" s="30" t="n">
        <x:f>IF(H426="No",0,ROUND(P426*0.45+Q426*0.30+R426*0.15+IF(M426="Easy",10,IF(M426="Medium",6,2))+IF(N426="High",5,IF(N426="Medium",3,0)),1))</x:f>
        <x:v>53.7</x:v>
      </x:c>
      <x:c r="T426" s="14" t="str">
        <x:f>IF(H426="No","Exclude",IF(S426&gt;=70,"Priority 1",IF(S426&gt;=55,"Priority 2",IF(S426&gt;=40,"Priority 3","Low priority"))))</x:f>
        <x:v>Priority 3</x:v>
      </x:c>
    </x:row>
    <x:row r="427">
      <x:c r="A427" s="14" t="n">
        <x:v>426</x:v>
      </x:c>
      <x:c r="B427" s="18" t="str">
        <x:v>calculator on phone</x:v>
      </x:c>
      <x:c r="C427" s="18" t="str">
        <x:v>navigational, informational</x:v>
      </x:c>
      <x:c r="D427" s="26" t="n">
        <x:v>2400</x:v>
      </x:c>
      <x:c r="E427" s="28" t="n">
        <x:v>1.28</x:v>
      </x:c>
      <x:c r="F427" s="14" t="n">
        <x:v>11</x:v>
      </x:c>
      <x:c r="G427" s="14" t="n">
        <x:v>79</x:v>
      </x:c>
      <x:c r="H427" s="14" t="str">
        <x:v>No</x:v>
      </x:c>
      <x:c r="I427" s="18" t="str">
        <x:v>App/product/brand/navigation/media intent rather than a calculation</x:v>
      </x:c>
      <x:c r="J427" s="18" t="str">
        <x:v>Excluded / Non-calculator</x:v>
      </x:c>
      <x:c r="K427" s="18" t="str"/>
      <x:c r="L427" s="18" t="n">
        <x:v>0</x:v>
      </x:c>
      <x:c r="M427" s="18" t="str"/>
      <x:c r="N427" s="18" t="str"/>
      <x:c r="O427" s="18" t="str"/>
      <x:c r="P427" s="30" t="n">
        <x:f>MAX(0,100-G427)</x:f>
        <x:v>21</x:v>
      </x:c>
      <x:c r="Q427" s="30" t="n">
        <x:f>MIN(100,ROUND(LOG10(D427+1)*18,0))</x:f>
        <x:v>61</x:v>
      </x:c>
      <x:c r="R427" s="30" t="n">
        <x:f>MIN(100,ROUND(E427*12,0))</x:f>
        <x:v>15</x:v>
      </x:c>
      <x:c r="S427" s="30" t="n">
        <x:f>IF(H427="No",0,ROUND(P427*0.45+Q427*0.30+R427*0.15+IF(M427="Easy",10,IF(M427="Medium",6,2))+IF(N427="High",5,IF(N427="Medium",3,0)),1))</x:f>
        <x:v>0</x:v>
      </x:c>
      <x:c r="T427" s="14" t="str">
        <x:f>IF(H427="No","Exclude",IF(S427&gt;=70,"Priority 1",IF(S427&gt;=55,"Priority 2",IF(S427&gt;=40,"Priority 3","Low priority"))))</x:f>
        <x:v>Exclude</x:v>
      </x:c>
    </x:row>
    <x:row r="428">
      <x:c r="A428" s="14" t="n">
        <x:v>427</x:v>
      </x:c>
      <x:c r="B428" s="18" t="str">
        <x:v>calculator numbers</x:v>
      </x:c>
      <x:c r="C428" s="18" t="str">
        <x:v>informational, navigational</x:v>
      </x:c>
      <x:c r="D428" s="26" t="n">
        <x:v>1300</x:v>
      </x:c>
      <x:c r="E428" s="28" t="n">
        <x:v>0.65</x:v>
      </x:c>
      <x:c r="F428" s="14" t="n">
        <x:v>1</x:v>
      </x:c>
      <x:c r="G428" s="14" t="n">
        <x:v>79</x:v>
      </x:c>
      <x:c r="H428" s="14" t="str">
        <x:v>Maybe</x:v>
      </x:c>
      <x:c r="I428" s="18" t="str">
        <x:v>Potential calculator intent, but keyword meaning is broad or ambiguous</x:v>
      </x:c>
      <x:c r="J428" s="18" t="str">
        <x:v>General / Other</x:v>
      </x:c>
      <x:c r="K428" s="18" t="str">
        <x:v>Numbers calculator</x:v>
      </x:c>
      <x:c r="L428" s="18" t="n">
        <x:v>1</x:v>
      </x:c>
      <x:c r="M428" s="18" t="str">
        <x:v>Easy</x:v>
      </x:c>
      <x:c r="N428" s="18" t="str">
        <x:v>Medium</x:v>
      </x:c>
      <x:c r="O428" s="18" t="str">
        <x:v>Ads</x:v>
      </x:c>
      <x:c r="P428" s="30" t="n">
        <x:f>MAX(0,100-G428)</x:f>
        <x:v>21</x:v>
      </x:c>
      <x:c r="Q428" s="30" t="n">
        <x:f>MIN(100,ROUND(LOG10(D428+1)*18,0))</x:f>
        <x:v>56</x:v>
      </x:c>
      <x:c r="R428" s="30" t="n">
        <x:f>MIN(100,ROUND(E428*12,0))</x:f>
        <x:v>8</x:v>
      </x:c>
      <x:c r="S428" s="30" t="n">
        <x:f>IF(H428="No",0,ROUND(P428*0.45+Q428*0.30+R428*0.15+IF(M428="Easy",10,IF(M428="Medium",6,2))+IF(N428="High",5,IF(N428="Medium",3,0)),1))</x:f>
        <x:v>40.5</x:v>
      </x:c>
      <x:c r="T428" s="14" t="str">
        <x:f>IF(H428="No","Exclude",IF(S428&gt;=70,"Priority 1",IF(S428&gt;=55,"Priority 2",IF(S428&gt;=40,"Priority 3","Low priority"))))</x:f>
        <x:v>Priority 3</x:v>
      </x:c>
    </x:row>
    <x:row r="429">
      <x:c r="A429" s="14" t="n">
        <x:v>428</x:v>
      </x:c>
      <x:c r="B429" s="18" t="str">
        <x:v>calculator investment</x:v>
      </x:c>
      <x:c r="C429" s="18" t="str">
        <x:v>navigational, commercial</x:v>
      </x:c>
      <x:c r="D429" s="26" t="n">
        <x:v>450000</x:v>
      </x:c>
      <x:c r="E429" s="28" t="n">
        <x:v>2.54</x:v>
      </x:c>
      <x:c r="F429" s="14" t="n">
        <x:v>7</x:v>
      </x:c>
      <x:c r="G429" s="14" t="n">
        <x:v>80</x:v>
      </x:c>
      <x:c r="H429" s="14" t="str">
        <x:v>Yes</x:v>
      </x:c>
      <x:c r="I429" s="18" t="str">
        <x:v>Clear calculation, conversion, estimation, or formula intent</x:v>
      </x:c>
      <x:c r="J429" s="18" t="str">
        <x:v>Personal Finance &amp; Investing</x:v>
      </x:c>
      <x:c r="K429" s="18" t="str">
        <x:v>Investment calculator</x:v>
      </x:c>
      <x:c r="L429" s="18" t="n">
        <x:v>1</x:v>
      </x:c>
      <x:c r="M429" s="18" t="str">
        <x:v>Complex</x:v>
      </x:c>
      <x:c r="N429" s="18" t="str">
        <x:v>High</x:v>
      </x:c>
      <x:c r="O429" s="18" t="str">
        <x:v>Ads / Leads / Affiliate</x:v>
      </x:c>
      <x:c r="P429" s="30" t="n">
        <x:f>MAX(0,100-G429)</x:f>
        <x:v>20</x:v>
      </x:c>
      <x:c r="Q429" s="30" t="n">
        <x:f>MIN(100,ROUND(LOG10(D429+1)*18,0))</x:f>
        <x:v>100</x:v>
      </x:c>
      <x:c r="R429" s="30" t="n">
        <x:f>MIN(100,ROUND(E429*12,0))</x:f>
        <x:v>30</x:v>
      </x:c>
      <x:c r="S429" s="30" t="n">
        <x:f>IF(H429="No",0,ROUND(P429*0.45+Q429*0.30+R429*0.15+IF(M429="Easy",10,IF(M429="Medium",6,2))+IF(N429="High",5,IF(N429="Medium",3,0)),1))</x:f>
        <x:v>50.5</x:v>
      </x:c>
      <x:c r="T429" s="14" t="str">
        <x:f>IF(H429="No","Exclude",IF(S429&gt;=70,"Priority 1",IF(S429&gt;=55,"Priority 2",IF(S429&gt;=40,"Priority 3","Low priority"))))</x:f>
        <x:v>Priority 3</x:v>
      </x:c>
    </x:row>
    <x:row r="430">
      <x:c r="A430" s="14" t="n">
        <x:v>429</x:v>
      </x:c>
      <x:c r="B430" s="18" t="str">
        <x:v>calculator app</x:v>
      </x:c>
      <x:c r="C430" s="18" t="str">
        <x:v>informational, transactional</x:v>
      </x:c>
      <x:c r="D430" s="26" t="n">
        <x:v>135000</x:v>
      </x:c>
      <x:c r="E430" s="28" t="n">
        <x:v>1.68</x:v>
      </x:c>
      <x:c r="F430" s="14" t="n">
        <x:v>18</x:v>
      </x:c>
      <x:c r="G430" s="14" t="n">
        <x:v>81</x:v>
      </x:c>
      <x:c r="H430" s="14" t="str">
        <x:v>No</x:v>
      </x:c>
      <x:c r="I430" s="18" t="str">
        <x:v>App/product/brand/navigation/media intent rather than a calculation</x:v>
      </x:c>
      <x:c r="J430" s="18" t="str">
        <x:v>Excluded / Non-calculator</x:v>
      </x:c>
      <x:c r="K430" s="18" t="str"/>
      <x:c r="L430" s="18" t="n">
        <x:v>0</x:v>
      </x:c>
      <x:c r="M430" s="18" t="str"/>
      <x:c r="N430" s="18" t="str"/>
      <x:c r="O430" s="18" t="str"/>
      <x:c r="P430" s="30" t="n">
        <x:f>MAX(0,100-G430)</x:f>
        <x:v>19</x:v>
      </x:c>
      <x:c r="Q430" s="30" t="n">
        <x:f>MIN(100,ROUND(LOG10(D430+1)*18,0))</x:f>
        <x:v>92</x:v>
      </x:c>
      <x:c r="R430" s="30" t="n">
        <x:f>MIN(100,ROUND(E430*12,0))</x:f>
        <x:v>20</x:v>
      </x:c>
      <x:c r="S430" s="30" t="n">
        <x:f>IF(H430="No",0,ROUND(P430*0.45+Q430*0.30+R430*0.15+IF(M430="Easy",10,IF(M430="Medium",6,2))+IF(N430="High",5,IF(N430="Medium",3,0)),1))</x:f>
        <x:v>0</x:v>
      </x:c>
      <x:c r="T430" s="14" t="str">
        <x:f>IF(H430="No","Exclude",IF(S430&gt;=70,"Priority 1",IF(S430&gt;=55,"Priority 2",IF(S430&gt;=40,"Priority 3","Low priority"))))</x:f>
        <x:v>Exclude</x:v>
      </x:c>
    </x:row>
    <x:row r="431">
      <x:c r="A431" s="14" t="n">
        <x:v>430</x:v>
      </x:c>
      <x:c r="B431" s="18" t="str">
        <x:v>calculator monthly payment</x:v>
      </x:c>
      <x:c r="C431" s="18" t="str">
        <x:v>null</x:v>
      </x:c>
      <x:c r="D431" s="26" t="n">
        <x:v>33100</x:v>
      </x:c>
      <x:c r="E431" s="28" t="n">
        <x:v>1.08</x:v>
      </x:c>
      <x:c r="F431" s="14" t="n">
        <x:v>19</x:v>
      </x:c>
      <x:c r="G431" s="14" t="n">
        <x:v>81</x:v>
      </x:c>
      <x:c r="H431" s="14" t="str">
        <x:v>Yes</x:v>
      </x:c>
      <x:c r="I431" s="18" t="str">
        <x:v>Clear calculation, conversion, estimation, or formula intent</x:v>
      </x:c>
      <x:c r="J431" s="18" t="str">
        <x:v>Loans &amp; Auto Finance</x:v>
      </x:c>
      <x:c r="K431" s="18" t="str">
        <x:v>Monthly Payment calculator</x:v>
      </x:c>
      <x:c r="L431" s="18" t="n">
        <x:v>1</x:v>
      </x:c>
      <x:c r="M431" s="18" t="str">
        <x:v>Easy</x:v>
      </x:c>
      <x:c r="N431" s="18" t="str">
        <x:v>High</x:v>
      </x:c>
      <x:c r="O431" s="18" t="str">
        <x:v>Leads / Ads / Affiliate</x:v>
      </x:c>
      <x:c r="P431" s="30" t="n">
        <x:f>MAX(0,100-G431)</x:f>
        <x:v>19</x:v>
      </x:c>
      <x:c r="Q431" s="30" t="n">
        <x:f>MIN(100,ROUND(LOG10(D431+1)*18,0))</x:f>
        <x:v>81</x:v>
      </x:c>
      <x:c r="R431" s="30" t="n">
        <x:f>MIN(100,ROUND(E431*12,0))</x:f>
        <x:v>13</x:v>
      </x:c>
      <x:c r="S431" s="30" t="n">
        <x:f>IF(H431="No",0,ROUND(P431*0.45+Q431*0.30+R431*0.15+IF(M431="Easy",10,IF(M431="Medium",6,2))+IF(N431="High",5,IF(N431="Medium",3,0)),1))</x:f>
        <x:v>49.8</x:v>
      </x:c>
      <x:c r="T431" s="14" t="str">
        <x:f>IF(H431="No","Exclude",IF(S431&gt;=70,"Priority 1",IF(S431&gt;=55,"Priority 2",IF(S431&gt;=40,"Priority 3","Low priority"))))</x:f>
        <x:v>Priority 3</x:v>
      </x:c>
    </x:row>
    <x:row r="432">
      <x:c r="A432" s="14" t="n">
        <x:v>431</x:v>
      </x:c>
      <x:c r="B432" s="18" t="str">
        <x:v>calculator date and time</x:v>
      </x:c>
      <x:c r="C432" s="18" t="str">
        <x:v>informational</x:v>
      </x:c>
      <x:c r="D432" s="26" t="n">
        <x:v>110000</x:v>
      </x:c>
      <x:c r="E432" s="28" t="n">
        <x:v>0</x:v>
      </x:c>
      <x:c r="F432" s="14" t="n">
        <x:v>1</x:v>
      </x:c>
      <x:c r="G432" s="14" t="n">
        <x:v>82</x:v>
      </x:c>
      <x:c r="H432" s="14" t="str">
        <x:v>Yes</x:v>
      </x:c>
      <x:c r="I432" s="18" t="str">
        <x:v>Clear calculation, conversion, estimation, or formula intent</x:v>
      </x:c>
      <x:c r="J432" s="18" t="str">
        <x:v>Date &amp; Time</x:v>
      </x:c>
      <x:c r="K432" s="18" t="str">
        <x:v>Date calculator</x:v>
      </x:c>
      <x:c r="L432" s="18" t="n">
        <x:v>9</x:v>
      </x:c>
      <x:c r="M432" s="18" t="str">
        <x:v>Easy</x:v>
      </x:c>
      <x:c r="N432" s="18" t="str">
        <x:v>Medium</x:v>
      </x:c>
      <x:c r="O432" s="18" t="str">
        <x:v>Ads</x:v>
      </x:c>
      <x:c r="P432" s="30" t="n">
        <x:f>MAX(0,100-G432)</x:f>
        <x:v>18</x:v>
      </x:c>
      <x:c r="Q432" s="30" t="n">
        <x:f>MIN(100,ROUND(LOG10(D432+1)*18,0))</x:f>
        <x:v>91</x:v>
      </x:c>
      <x:c r="R432" s="30" t="n">
        <x:f>MIN(100,ROUND(E432*12,0))</x:f>
        <x:v>0</x:v>
      </x:c>
      <x:c r="S432" s="30" t="n">
        <x:f>IF(H432="No",0,ROUND(P432*0.45+Q432*0.30+R432*0.15+IF(M432="Easy",10,IF(M432="Medium",6,2))+IF(N432="High",5,IF(N432="Medium",3,0)),1))</x:f>
        <x:v>48.4</x:v>
      </x:c>
      <x:c r="T432" s="14" t="str">
        <x:f>IF(H432="No","Exclude",IF(S432&gt;=70,"Priority 1",IF(S432&gt;=55,"Priority 2",IF(S432&gt;=40,"Priority 3","Low priority"))))</x:f>
        <x:v>Priority 3</x:v>
      </x:c>
    </x:row>
    <x:row r="433">
      <x:c r="A433" s="14" t="n">
        <x:v>432</x:v>
      </x:c>
      <x:c r="B433" s="18" t="str">
        <x:v>calculator open</x:v>
      </x:c>
      <x:c r="C433" s="18" t="str">
        <x:v>informational</x:v>
      </x:c>
      <x:c r="D433" s="26" t="n">
        <x:v>110</x:v>
      </x:c>
      <x:c r="E433" s="28" t="n">
        <x:v>1.15</x:v>
      </x:c>
      <x:c r="F433" s="14" t="n">
        <x:v>11</x:v>
      </x:c>
      <x:c r="G433" s="14" t="n">
        <x:v>82</x:v>
      </x:c>
      <x:c r="H433" s="14" t="str">
        <x:v>No</x:v>
      </x:c>
      <x:c r="I433" s="18" t="str">
        <x:v>App/product/brand/navigation/media intent rather than a calculation</x:v>
      </x:c>
      <x:c r="J433" s="18" t="str">
        <x:v>Excluded / Non-calculator</x:v>
      </x:c>
      <x:c r="K433" s="18" t="str"/>
      <x:c r="L433" s="18" t="n">
        <x:v>0</x:v>
      </x:c>
      <x:c r="M433" s="18" t="str"/>
      <x:c r="N433" s="18" t="str"/>
      <x:c r="O433" s="18" t="str"/>
      <x:c r="P433" s="30" t="n">
        <x:f>MAX(0,100-G433)</x:f>
        <x:v>18</x:v>
      </x:c>
      <x:c r="Q433" s="30" t="n">
        <x:f>MIN(100,ROUND(LOG10(D433+1)*18,0))</x:f>
        <x:v>37</x:v>
      </x:c>
      <x:c r="R433" s="30" t="n">
        <x:f>MIN(100,ROUND(E433*12,0))</x:f>
        <x:v>14</x:v>
      </x:c>
      <x:c r="S433" s="30" t="n">
        <x:f>IF(H433="No",0,ROUND(P433*0.45+Q433*0.30+R433*0.15+IF(M433="Easy",10,IF(M433="Medium",6,2))+IF(N433="High",5,IF(N433="Medium",3,0)),1))</x:f>
        <x:v>0</x:v>
      </x:c>
      <x:c r="T433" s="14" t="str">
        <x:f>IF(H433="No","Exclude",IF(S433&gt;=70,"Priority 1",IF(S433&gt;=55,"Priority 2",IF(S433&gt;=40,"Priority 3","Low priority"))))</x:f>
        <x:v>Exclude</x:v>
      </x:c>
    </x:row>
    <x:row r="434">
      <x:c r="A434" s="14" t="n">
        <x:v>433</x:v>
      </x:c>
      <x:c r="B434" s="18" t="str">
        <x:v>calculator calories</x:v>
      </x:c>
      <x:c r="C434" s="18" t="str">
        <x:v>informational</x:v>
      </x:c>
      <x:c r="D434" s="26" t="n">
        <x:v>1000000</x:v>
      </x:c>
      <x:c r="E434" s="28" t="n">
        <x:v>1.64</x:v>
      </x:c>
      <x:c r="F434" s="14" t="n">
        <x:v>6</x:v>
      </x:c>
      <x:c r="G434" s="14" t="n">
        <x:v>86</x:v>
      </x:c>
      <x:c r="H434" s="14" t="str">
        <x:v>Yes</x:v>
      </x:c>
      <x:c r="I434" s="18" t="str">
        <x:v>Clear calculation, conversion, estimation, or formula intent</x:v>
      </x:c>
      <x:c r="J434" s="18" t="str">
        <x:v>Health, Nutrition &amp; Fitness</x:v>
      </x:c>
      <x:c r="K434" s="18" t="str">
        <x:v>Calorie calculator</x:v>
      </x:c>
      <x:c r="L434" s="18" t="n">
        <x:v>3</x:v>
      </x:c>
      <x:c r="M434" s="18" t="str">
        <x:v>Easy</x:v>
      </x:c>
      <x:c r="N434" s="18" t="str">
        <x:v>Medium</x:v>
      </x:c>
      <x:c r="O434" s="18" t="str">
        <x:v>Ads / Affiliate</x:v>
      </x:c>
      <x:c r="P434" s="30" t="n">
        <x:f>MAX(0,100-G434)</x:f>
        <x:v>14</x:v>
      </x:c>
      <x:c r="Q434" s="30" t="n">
        <x:f>MIN(100,ROUND(LOG10(D434+1)*18,0))</x:f>
        <x:v>100</x:v>
      </x:c>
      <x:c r="R434" s="30" t="n">
        <x:f>MIN(100,ROUND(E434*12,0))</x:f>
        <x:v>20</x:v>
      </x:c>
      <x:c r="S434" s="30" t="n">
        <x:f>IF(H434="No",0,ROUND(P434*0.45+Q434*0.30+R434*0.15+IF(M434="Easy",10,IF(M434="Medium",6,2))+IF(N434="High",5,IF(N434="Medium",3,0)),1))</x:f>
        <x:v>52.3</x:v>
      </x:c>
      <x:c r="T434" s="14" t="str">
        <x:f>IF(H434="No","Exclude",IF(S434&gt;=70,"Priority 1",IF(S434&gt;=55,"Priority 2",IF(S434&gt;=40,"Priority 3","Low priority"))))</x:f>
        <x:v>Priority 3</x:v>
      </x:c>
    </x:row>
    <x:row r="435">
      <x:c r="A435" s="14" t="n">
        <x:v>434</x:v>
      </x:c>
      <x:c r="B435" s="18" t="str">
        <x:v>calculator 2024</x:v>
      </x:c>
      <x:c r="C435" s="18" t="str">
        <x:v>transactional</x:v>
      </x:c>
      <x:c r="D435" s="26" t="n">
        <x:v>40</x:v>
      </x:c>
      <x:c r="E435" s="28" t="n">
        <x:v>0</x:v>
      </x:c>
      <x:c r="F435" s="14" t="n">
        <x:v>7</x:v>
      </x:c>
      <x:c r="G435" s="14" t="n">
        <x:v>91</x:v>
      </x:c>
      <x:c r="H435" s="14" t="str">
        <x:v>No</x:v>
      </x:c>
      <x:c r="I435" s="18" t="str">
        <x:v>Model/number query, not a distinct web calculator</x:v>
      </x:c>
      <x:c r="J435" s="18" t="str">
        <x:v>Excluded / Non-calculator</x:v>
      </x:c>
      <x:c r="K435" s="18" t="str"/>
      <x:c r="L435" s="18" t="n">
        <x:v>0</x:v>
      </x:c>
      <x:c r="M435" s="18" t="str"/>
      <x:c r="N435" s="18" t="str"/>
      <x:c r="O435" s="18" t="str"/>
      <x:c r="P435" s="30" t="n">
        <x:f>MAX(0,100-G435)</x:f>
        <x:v>9</x:v>
      </x:c>
      <x:c r="Q435" s="30" t="n">
        <x:f>MIN(100,ROUND(LOG10(D435+1)*18,0))</x:f>
        <x:v>29</x:v>
      </x:c>
      <x:c r="R435" s="30" t="n">
        <x:f>MIN(100,ROUND(E435*12,0))</x:f>
        <x:v>0</x:v>
      </x:c>
      <x:c r="S435" s="30" t="n">
        <x:f>IF(H435="No",0,ROUND(P435*0.45+Q435*0.30+R435*0.15+IF(M435="Easy",10,IF(M435="Medium",6,2))+IF(N435="High",5,IF(N435="Medium",3,0)),1))</x:f>
        <x:v>0</x:v>
      </x:c>
      <x:c r="T435" s="14" t="str">
        <x:f>IF(H435="No","Exclude",IF(S435&gt;=70,"Priority 1",IF(S435&gt;=55,"Priority 2",IF(S435&gt;=40,"Priority 3","Low priority"))))</x:f>
        <x:v>Exclude</x:v>
      </x:c>
    </x:row>
  </x:sheetData>
  <x:conditionalFormatting sqref="G2:G435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S2:S435">
    <x:cfRule type="colorScale" priority="2">
      <x:colorScale>
        <x:cfvo type="min"/>
        <x:cfvo type="percentile" val="50"/>
        <x:cfvo type="max"/>
        <x:color rgb="FFFFC7CE"/>
        <x:color rgb="FFFFEB9C"/>
        <x:color rgb="FFC6EFCE"/>
      </x:colorScale>
    </x:cfRule>
  </x:conditionalFormatting>
  <x:conditionalFormatting sqref="H2:H435">
    <x:cfRule type="expression" dxfId="0" priority="3">
      <x:formula>H2="Yes"</x:formula>
    </x:cfRule>
    <x:cfRule type="expression" dxfId="1" priority="4">
      <x:formula>H2="Maybe"</x:formula>
    </x:cfRule>
    <x:cfRule type="expression" dxfId="2" priority="5">
      <x:formula>H2="No"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0db80477e142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28" hidden="0" customWidth="1"/>
    <x:col min="4" max="4" width="15" hidden="0" customWidth="1"/>
    <x:col min="5" max="5" width="14" hidden="0" customWidth="1"/>
    <x:col min="6" max="6" width="12" hidden="0" customWidth="1"/>
    <x:col min="7" max="7" width="15" hidden="0" customWidth="1"/>
    <x:col min="8" max="8" width="34" hidden="0" customWidth="1"/>
    <x:col min="9" max="9" width="14" hidden="0" customWidth="1"/>
    <x:col min="10" max="10" width="18" hidden="0" customWidth="1"/>
    <x:col min="11" max="11" width="13" hidden="0" customWidth="1"/>
    <x:col min="12" max="12" width="24" hidden="0" customWidth="1"/>
    <x:col min="13" max="13" width="27" hidden="0" customWidth="1"/>
  </x:cols>
  <x:sheetData>
    <x:row r="1">
      <x:c r="A1" s="8" t="str">
        <x:v>Rank by Low SEO</x:v>
      </x:c>
      <x:c r="B1" s="8" t="str">
        <x:v>Keyword</x:v>
      </x:c>
      <x:c r="C1" s="8" t="str">
        <x:v>Category</x:v>
      </x:c>
      <x:c r="D1" s="8" t="str">
        <x:v>Search Volume</x:v>
      </x:c>
      <x:c r="E1" s="8" t="str">
        <x:v>SEO Difficulty</x:v>
      </x:c>
      <x:c r="F1" s="8" t="str">
        <x:v>CPC (USD)</x:v>
      </x:c>
      <x:c r="G1" s="8" t="str">
        <x:v>Real Calculator?</x:v>
      </x:c>
      <x:c r="H1" s="8" t="str">
        <x:v>Normalized Opportunity</x:v>
      </x:c>
      <x:c r="I1" s="8" t="str">
        <x:v>Keyword Variants</x:v>
      </x:c>
      <x:c r="J1" s="8" t="str">
        <x:v>Development Complexity</x:v>
      </x:c>
      <x:c r="K1" s="8" t="str">
        <x:v>US Relevance</x:v>
      </x:c>
      <x:c r="L1" s="8" t="str">
        <x:v>Monetization</x:v>
      </x:c>
      <x:c r="M1" s="8" t="str">
        <x:v>Assessment</x:v>
      </x:c>
    </x:row>
    <x:row r="2">
      <x:c r="A2" s="14" t="n">
        <x:v>1</x:v>
      </x:c>
      <x:c r="B2" s="18" t="str">
        <x:v>calculator 0 to absolute infinity</x:v>
      </x:c>
      <x:c r="C2" s="18" t="str">
        <x:v>Math &amp; Education</x:v>
      </x:c>
      <x:c r="D2" s="32" t="n">
        <x:v>0</x:v>
      </x:c>
      <x:c r="E2" s="18" t="n">
        <x:v>4</x:v>
      </x:c>
      <x:c r="F2" s="34" t="n">
        <x:v>0</x:v>
      </x:c>
      <x:c r="G2" s="18" t="str">
        <x:v>Yes</x:v>
      </x:c>
      <x:c r="H2" s="18" t="str">
        <x:v>0 To Absolute Infinity calculator</x:v>
      </x:c>
      <x:c r="I2" s="18" t="n">
        <x:v>1</x:v>
      </x:c>
      <x:c r="J2" s="18" t="str">
        <x:v>Easy</x:v>
      </x:c>
      <x:c r="K2" s="18" t="str">
        <x:v>Medium</x:v>
      </x:c>
      <x:c r="L2" s="18" t="str">
        <x:v>Ads / EdTech</x:v>
      </x:c>
      <x:c r="M2" s="18" t="str">
        <x:v>Promising, validate SERP</x:v>
      </x:c>
    </x:row>
    <x:row r="3">
      <x:c r="A3" s="14" t="n">
        <x:v>2</x:v>
      </x:c>
      <x:c r="B3" s="18" t="str">
        <x:v>calculator 30 percent off</x:v>
      </x:c>
      <x:c r="C3" s="18" t="str">
        <x:v>Math &amp; Education</x:v>
      </x:c>
      <x:c r="D3" s="32" t="n">
        <x:v>0</x:v>
      </x:c>
      <x:c r="E3" s="18" t="n">
        <x:v>4</x:v>
      </x:c>
      <x:c r="F3" s="34" t="n">
        <x:v>0</x:v>
      </x:c>
      <x:c r="G3" s="18" t="str">
        <x:v>Yes</x:v>
      </x:c>
      <x:c r="H3" s="18" t="str">
        <x:v>Discount/percentage-off calculator</x:v>
      </x:c>
      <x:c r="I3" s="18" t="n">
        <x:v>3</x:v>
      </x:c>
      <x:c r="J3" s="18" t="str">
        <x:v>Easy</x:v>
      </x:c>
      <x:c r="K3" s="18" t="str">
        <x:v>Medium</x:v>
      </x:c>
      <x:c r="L3" s="18" t="str">
        <x:v>Ads / EdTech</x:v>
      </x:c>
      <x:c r="M3" s="18" t="str">
        <x:v>Promising, validate SERP</x:v>
      </x:c>
    </x:row>
    <x:row r="4">
      <x:c r="A4" s="14" t="n">
        <x:v>3</x:v>
      </x:c>
      <x:c r="B4" s="18" t="str">
        <x:v>calculator 401k chart by age</x:v>
      </x:c>
      <x:c r="C4" s="18" t="str">
        <x:v>Personal Finance &amp; Investing</x:v>
      </x:c>
      <x:c r="D4" s="32" t="n">
        <x:v>0</x:v>
      </x:c>
      <x:c r="E4" s="18" t="n">
        <x:v>4</x:v>
      </x:c>
      <x:c r="F4" s="34" t="n">
        <x:v>0</x:v>
      </x:c>
      <x:c r="G4" s="18" t="str">
        <x:v>Yes</x:v>
      </x:c>
      <x:c r="H4" s="18" t="str">
        <x:v>401K Chart By Age calculator</x:v>
      </x:c>
      <x:c r="I4" s="18" t="n">
        <x:v>1</x:v>
      </x:c>
      <x:c r="J4" s="18" t="str">
        <x:v>Medium</x:v>
      </x:c>
      <x:c r="K4" s="18" t="str">
        <x:v>High</x:v>
      </x:c>
      <x:c r="L4" s="18" t="str">
        <x:v>Ads / Leads / Affiliate</x:v>
      </x:c>
      <x:c r="M4" s="18" t="str">
        <x:v>Promising, validate SERP</x:v>
      </x:c>
    </x:row>
    <x:row r="5">
      <x:c r="A5" s="14" t="n">
        <x:v>4</x:v>
      </x:c>
      <x:c r="B5" s="18" t="str">
        <x:v>calculator 6 minute walk test</x:v>
      </x:c>
      <x:c r="C5" s="18" t="str">
        <x:v>Health, Nutrition &amp; Fitness</x:v>
      </x:c>
      <x:c r="D5" s="32" t="n">
        <x:v>0</x:v>
      </x:c>
      <x:c r="E5" s="18" t="n">
        <x:v>4</x:v>
      </x:c>
      <x:c r="F5" s="34" t="n">
        <x:v>0</x:v>
      </x:c>
      <x:c r="G5" s="18" t="str">
        <x:v>Yes</x:v>
      </x:c>
      <x:c r="H5" s="18" t="str">
        <x:v>6 Minute Walk Test calculator</x:v>
      </x:c>
      <x:c r="I5" s="18" t="n">
        <x:v>1</x:v>
      </x:c>
      <x:c r="J5" s="18" t="str">
        <x:v>Easy</x:v>
      </x:c>
      <x:c r="K5" s="18" t="str">
        <x:v>Medium</x:v>
      </x:c>
      <x:c r="L5" s="18" t="str">
        <x:v>Ads / Affiliate</x:v>
      </x:c>
      <x:c r="M5" s="18" t="str">
        <x:v>Promising, validate SERP</x:v>
      </x:c>
    </x:row>
    <x:row r="6">
      <x:c r="A6" s="14" t="n">
        <x:v>5</x:v>
      </x:c>
      <x:c r="B6" s="18" t="str">
        <x:v>calculator 60 days from date</x:v>
      </x:c>
      <x:c r="C6" s="18" t="str">
        <x:v>Date &amp; Time</x:v>
      </x:c>
      <x:c r="D6" s="32" t="n">
        <x:v>0</x:v>
      </x:c>
      <x:c r="E6" s="18" t="n">
        <x:v>4</x:v>
      </x:c>
      <x:c r="F6" s="34" t="n">
        <x:v>0</x:v>
      </x:c>
      <x:c r="G6" s="18" t="str">
        <x:v>Yes</x:v>
      </x:c>
      <x:c r="H6" s="18" t="str">
        <x:v>Date calculator</x:v>
      </x:c>
      <x:c r="I6" s="18" t="n">
        <x:v>9</x:v>
      </x:c>
      <x:c r="J6" s="18" t="str">
        <x:v>Easy</x:v>
      </x:c>
      <x:c r="K6" s="18" t="str">
        <x:v>Medium</x:v>
      </x:c>
      <x:c r="L6" s="18" t="str">
        <x:v>Ads</x:v>
      </x:c>
      <x:c r="M6" s="18" t="str">
        <x:v>Promising, validate SERP</x:v>
      </x:c>
    </x:row>
    <x:row r="7">
      <x:c r="A7" s="14" t="n">
        <x:v>6</x:v>
      </x:c>
      <x:c r="B7" s="18" t="str">
        <x:v>calculator 60 days from today</x:v>
      </x:c>
      <x:c r="C7" s="18" t="str">
        <x:v>Date &amp; Time</x:v>
      </x:c>
      <x:c r="D7" s="32" t="n">
        <x:v>0</x:v>
      </x:c>
      <x:c r="E7" s="18" t="n">
        <x:v>4</x:v>
      </x:c>
      <x:c r="F7" s="34" t="n">
        <x:v>0</x:v>
      </x:c>
      <x:c r="G7" s="18" t="str">
        <x:v>Yes</x:v>
      </x:c>
      <x:c r="H7" s="18" t="str">
        <x:v>60 Days From Today calculator</x:v>
      </x:c>
      <x:c r="I7" s="18" t="n">
        <x:v>1</x:v>
      </x:c>
      <x:c r="J7" s="18" t="str">
        <x:v>Easy</x:v>
      </x:c>
      <x:c r="K7" s="18" t="str">
        <x:v>Medium</x:v>
      </x:c>
      <x:c r="L7" s="18" t="str">
        <x:v>Ads</x:v>
      </x:c>
      <x:c r="M7" s="18" t="str">
        <x:v>Promising, validate SERP</x:v>
      </x:c>
    </x:row>
    <x:row r="8">
      <x:c r="A8" s="14" t="n">
        <x:v>7</x:v>
      </x:c>
      <x:c r="B8" s="18" t="str">
        <x:v>calculator 70 20 10</x:v>
      </x:c>
      <x:c r="C8" s="18" t="str">
        <x:v>General / Other</x:v>
      </x:c>
      <x:c r="D8" s="32" t="n">
        <x:v>0</x:v>
      </x:c>
      <x:c r="E8" s="18" t="n">
        <x:v>4</x:v>
      </x:c>
      <x:c r="F8" s="34" t="n">
        <x:v>0</x:v>
      </x:c>
      <x:c r="G8" s="18" t="str">
        <x:v>Yes</x:v>
      </x:c>
      <x:c r="H8" s="18" t="str">
        <x:v>70 20 10 calculator</x:v>
      </x:c>
      <x:c r="I8" s="18" t="n">
        <x:v>1</x:v>
      </x:c>
      <x:c r="J8" s="18" t="str">
        <x:v>Easy</x:v>
      </x:c>
      <x:c r="K8" s="18" t="str">
        <x:v>Medium</x:v>
      </x:c>
      <x:c r="L8" s="18" t="str">
        <x:v>Ads</x:v>
      </x:c>
      <x:c r="M8" s="18" t="str">
        <x:v>Promising, validate SERP</x:v>
      </x:c>
    </x:row>
    <x:row r="9">
      <x:c r="A9" s="14" t="n">
        <x:v>8</x:v>
      </x:c>
      <x:c r="B9" s="18" t="str">
        <x:v>calculator 7th cpc pay matrix</x:v>
      </x:c>
      <x:c r="C9" s="18" t="str">
        <x:v>Salary, Payroll &amp; Tax</x:v>
      </x:c>
      <x:c r="D9" s="32" t="n">
        <x:v>0</x:v>
      </x:c>
      <x:c r="E9" s="18" t="n">
        <x:v>4</x:v>
      </x:c>
      <x:c r="F9" s="34" t="n">
        <x:v>0</x:v>
      </x:c>
      <x:c r="G9" s="18" t="str">
        <x:v>Yes</x:v>
      </x:c>
      <x:c r="H9" s="18" t="str">
        <x:v>7Th Cpc Pay Matrix calculator</x:v>
      </x:c>
      <x:c r="I9" s="18" t="n">
        <x:v>1</x:v>
      </x:c>
      <x:c r="J9" s="18" t="str">
        <x:v>Easy</x:v>
      </x:c>
      <x:c r="K9" s="18" t="str">
        <x:v>Low</x:v>
      </x:c>
      <x:c r="L9" s="18" t="str">
        <x:v>Ads / SaaS leads</x:v>
      </x:c>
      <x:c r="M9" s="18" t="str">
        <x:v>Promising, validate SERP</x:v>
      </x:c>
    </x:row>
    <x:row r="10">
      <x:c r="A10" s="14" t="n">
        <x:v>9</x:v>
      </x:c>
      <x:c r="B10" s="18" t="str">
        <x:v>calculator date and time magic trick</x:v>
      </x:c>
      <x:c r="C10" s="18" t="str">
        <x:v>Date &amp; Time</x:v>
      </x:c>
      <x:c r="D10" s="32" t="n">
        <x:v>0</x:v>
      </x:c>
      <x:c r="E10" s="18" t="n">
        <x:v>4</x:v>
      </x:c>
      <x:c r="F10" s="34" t="n">
        <x:v>0</x:v>
      </x:c>
      <x:c r="G10" s="18" t="str">
        <x:v>Yes</x:v>
      </x:c>
      <x:c r="H10" s="18" t="str">
        <x:v>Date calculator</x:v>
      </x:c>
      <x:c r="I10" s="18" t="n">
        <x:v>9</x:v>
      </x:c>
      <x:c r="J10" s="18" t="str">
        <x:v>Easy</x:v>
      </x:c>
      <x:c r="K10" s="18" t="str">
        <x:v>Medium</x:v>
      </x:c>
      <x:c r="L10" s="18" t="str">
        <x:v>Ads</x:v>
      </x:c>
      <x:c r="M10" s="18" t="str">
        <x:v>Promising, validate SERP</x:v>
      </x:c>
    </x:row>
    <x:row r="11">
      <x:c r="A11" s="14" t="n">
        <x:v>10</x:v>
      </x:c>
      <x:c r="B11" s="18" t="str">
        <x:v>calculator japanese yen to usd</x:v>
      </x:c>
      <x:c r="C11" s="18" t="str">
        <x:v>Conversions &amp; Units</x:v>
      </x:c>
      <x:c r="D11" s="32" t="n">
        <x:v>0</x:v>
      </x:c>
      <x:c r="E11" s="18" t="n">
        <x:v>4</x:v>
      </x:c>
      <x:c r="F11" s="34" t="n">
        <x:v>0</x:v>
      </x:c>
      <x:c r="G11" s="18" t="str">
        <x:v>Yes</x:v>
      </x:c>
      <x:c r="H11" s="18" t="str">
        <x:v>JPY to USD converter</x:v>
      </x:c>
      <x:c r="I11" s="18" t="n">
        <x:v>2</x:v>
      </x:c>
      <x:c r="J11" s="18" t="str">
        <x:v>Easy</x:v>
      </x:c>
      <x:c r="K11" s="18" t="str">
        <x:v>High</x:v>
      </x:c>
      <x:c r="L11" s="18" t="str">
        <x:v>Ads</x:v>
      </x:c>
      <x:c r="M11" s="18" t="str">
        <x:v>Promising, validate SERP</x:v>
      </x:c>
    </x:row>
    <x:row r="12">
      <x:c r="A12" s="14" t="n">
        <x:v>11</x:v>
      </x:c>
      <x:c r="B12" s="18" t="str">
        <x:v>calculator jpy to usd</x:v>
      </x:c>
      <x:c r="C12" s="18" t="str">
        <x:v>Conversions &amp; Units</x:v>
      </x:c>
      <x:c r="D12" s="32" t="n">
        <x:v>0</x:v>
      </x:c>
      <x:c r="E12" s="18" t="n">
        <x:v>4</x:v>
      </x:c>
      <x:c r="F12" s="34" t="n">
        <x:v>0</x:v>
      </x:c>
      <x:c r="G12" s="18" t="str">
        <x:v>Yes</x:v>
      </x:c>
      <x:c r="H12" s="18" t="str">
        <x:v>JPY to USD converter</x:v>
      </x:c>
      <x:c r="I12" s="18" t="n">
        <x:v>2</x:v>
      </x:c>
      <x:c r="J12" s="18" t="str">
        <x:v>Easy</x:v>
      </x:c>
      <x:c r="K12" s="18" t="str">
        <x:v>High</x:v>
      </x:c>
      <x:c r="L12" s="18" t="str">
        <x:v>Ads</x:v>
      </x:c>
      <x:c r="M12" s="18" t="str">
        <x:v>Promising, validate SERP</x:v>
      </x:c>
    </x:row>
    <x:row r="13">
      <x:c r="A13" s="14" t="n">
        <x:v>12</x:v>
      </x:c>
      <x:c r="B13" s="18" t="str">
        <x:v>calculator 7th pay commission</x:v>
      </x:c>
      <x:c r="C13" s="18" t="str">
        <x:v>Salary, Payroll &amp; Tax</x:v>
      </x:c>
      <x:c r="D13" s="32" t="n">
        <x:v>20</x:v>
      </x:c>
      <x:c r="E13" s="18" t="n">
        <x:v>5</x:v>
      </x:c>
      <x:c r="F13" s="34" t="n">
        <x:v>0</x:v>
      </x:c>
      <x:c r="G13" s="18" t="str">
        <x:v>Yes</x:v>
      </x:c>
      <x:c r="H13" s="18" t="str">
        <x:v>7Th Pay Commission calculator</x:v>
      </x:c>
      <x:c r="I13" s="18" t="n">
        <x:v>1</x:v>
      </x:c>
      <x:c r="J13" s="18" t="str">
        <x:v>Easy</x:v>
      </x:c>
      <x:c r="K13" s="18" t="str">
        <x:v>Low</x:v>
      </x:c>
      <x:c r="L13" s="18" t="str">
        <x:v>Ads / SaaS leads</x:v>
      </x:c>
      <x:c r="M13" s="18" t="str">
        <x:v>Promising, validate SERP</x:v>
      </x:c>
    </x:row>
    <x:row r="14">
      <x:c r="A14" s="14" t="n">
        <x:v>13</x:v>
      </x:c>
      <x:c r="B14" s="18" t="str">
        <x:v>calculator net investment calculator</x:v>
      </x:c>
      <x:c r="C14" s="18" t="str">
        <x:v>Personal Finance &amp; Investing</x:v>
      </x:c>
      <x:c r="D14" s="32" t="n">
        <x:v>260</x:v>
      </x:c>
      <x:c r="E14" s="18" t="n">
        <x:v>6</x:v>
      </x:c>
      <x:c r="F14" s="34" t="n">
        <x:v>1.97</x:v>
      </x:c>
      <x:c r="G14" s="18" t="str">
        <x:v>Yes</x:v>
      </x:c>
      <x:c r="H14" s="18" t="str">
        <x:v>Net Investment calculator</x:v>
      </x:c>
      <x:c r="I14" s="18" t="n">
        <x:v>1</x:v>
      </x:c>
      <x:c r="J14" s="18" t="str">
        <x:v>Complex</x:v>
      </x:c>
      <x:c r="K14" s="18" t="str">
        <x:v>High</x:v>
      </x:c>
      <x:c r="L14" s="18" t="str">
        <x:v>Ads / Leads / Affiliate</x:v>
      </x:c>
      <x:c r="M14" s="18" t="str">
        <x:v>Promising, validate SERP</x:v>
      </x:c>
    </x:row>
    <x:row r="15">
      <x:c r="A15" s="14" t="n">
        <x:v>14</x:v>
      </x:c>
      <x:c r="B15" s="18" t="str">
        <x:v>calculator usd to php</x:v>
      </x:c>
      <x:c r="C15" s="18" t="str">
        <x:v>Conversions &amp; Units</x:v>
      </x:c>
      <x:c r="D15" s="32" t="n">
        <x:v>10</x:v>
      </x:c>
      <x:c r="E15" s="18" t="n">
        <x:v>6</x:v>
      </x:c>
      <x:c r="F15" s="34" t="n">
        <x:v>0</x:v>
      </x:c>
      <x:c r="G15" s="18" t="str">
        <x:v>Maybe</x:v>
      </x:c>
      <x:c r="H15" s="18" t="str">
        <x:v>Usd To Php calculator</x:v>
      </x:c>
      <x:c r="I15" s="18" t="n">
        <x:v>1</x:v>
      </x:c>
      <x:c r="J15" s="18" t="str">
        <x:v>Easy</x:v>
      </x:c>
      <x:c r="K15" s="18" t="str">
        <x:v>High</x:v>
      </x:c>
      <x:c r="L15" s="18" t="str">
        <x:v>Ads</x:v>
      </x:c>
      <x:c r="M15" s="18" t="str">
        <x:v>Promising, validate SERP</x:v>
      </x:c>
    </x:row>
    <x:row r="16">
      <x:c r="A16" s="14" t="n">
        <x:v>15</x:v>
      </x:c>
      <x:c r="B16" s="18" t="str">
        <x:v>calculator yards of concrete</x:v>
      </x:c>
      <x:c r="C16" s="18" t="str">
        <x:v>Construction &amp; Home Improvement</x:v>
      </x:c>
      <x:c r="D16" s="32" t="n">
        <x:v>18100</x:v>
      </x:c>
      <x:c r="E16" s="18" t="n">
        <x:v>12</x:v>
      </x:c>
      <x:c r="F16" s="34" t="n">
        <x:v>0.06</x:v>
      </x:c>
      <x:c r="G16" s="18" t="str">
        <x:v>Yes</x:v>
      </x:c>
      <x:c r="H16" s="18" t="str">
        <x:v>Yards Of Concrete calculator</x:v>
      </x:c>
      <x:c r="I16" s="18" t="n">
        <x:v>1</x:v>
      </x:c>
      <x:c r="J16" s="18" t="str">
        <x:v>Medium</x:v>
      </x:c>
      <x:c r="K16" s="18" t="str">
        <x:v>Medium</x:v>
      </x:c>
      <x:c r="L16" s="18" t="str">
        <x:v>Ads / Local leads / Affiliate</x:v>
      </x:c>
      <x:c r="M16" s="18" t="str">
        <x:v>Strong candidate</x:v>
      </x:c>
    </x:row>
    <x:row r="17">
      <x:c r="A17" s="14" t="n">
        <x:v>16</x:v>
      </x:c>
      <x:c r="B17" s="18" t="str">
        <x:v>calculator tf</x:v>
      </x:c>
      <x:c r="C17" s="18" t="str">
        <x:v>General / Other</x:v>
      </x:c>
      <x:c r="D17" s="32" t="n">
        <x:v>260</x:v>
      </x:c>
      <x:c r="E17" s="18" t="n">
        <x:v>13</x:v>
      </x:c>
      <x:c r="F17" s="34" t="n">
        <x:v>0</x:v>
      </x:c>
      <x:c r="G17" s="18" t="str">
        <x:v>Maybe</x:v>
      </x:c>
      <x:c r="H17" s="18" t="str">
        <x:v>Tf calculator</x:v>
      </x:c>
      <x:c r="I17" s="18" t="n">
        <x:v>1</x:v>
      </x:c>
      <x:c r="J17" s="18" t="str">
        <x:v>Easy</x:v>
      </x:c>
      <x:c r="K17" s="18" t="str">
        <x:v>Medium</x:v>
      </x:c>
      <x:c r="L17" s="18" t="str">
        <x:v>Ads</x:v>
      </x:c>
      <x:c r="M17" s="18" t="str">
        <x:v>Promising, validate SERP</x:v>
      </x:c>
    </x:row>
    <x:row r="18">
      <x:c r="A18" s="14" t="n">
        <x:v>17</x:v>
      </x:c>
      <x:c r="B18" s="18" t="str">
        <x:v>calculator jailbreak</x:v>
      </x:c>
      <x:c r="C18" s="18" t="str">
        <x:v>General / Other</x:v>
      </x:c>
      <x:c r="D18" s="32" t="n">
        <x:v>40</x:v>
      </x:c>
      <x:c r="E18" s="18" t="n">
        <x:v>13</x:v>
      </x:c>
      <x:c r="F18" s="34" t="n">
        <x:v>0</x:v>
      </x:c>
      <x:c r="G18" s="18" t="str">
        <x:v>Maybe</x:v>
      </x:c>
      <x:c r="H18" s="18" t="str">
        <x:v>Jailbreak calculator</x:v>
      </x:c>
      <x:c r="I18" s="18" t="n">
        <x:v>1</x:v>
      </x:c>
      <x:c r="J18" s="18" t="str">
        <x:v>Easy</x:v>
      </x:c>
      <x:c r="K18" s="18" t="str">
        <x:v>Medium</x:v>
      </x:c>
      <x:c r="L18" s="18" t="str">
        <x:v>Ads</x:v>
      </x:c>
      <x:c r="M18" s="18" t="str">
        <x:v>Promising, validate SERP</x:v>
      </x:c>
    </x:row>
    <x:row r="19">
      <x:c r="A19" s="14" t="n">
        <x:v>18</x:v>
      </x:c>
      <x:c r="B19" s="18" t="str">
        <x:v>calculator 0 off</x:v>
      </x:c>
      <x:c r="C19" s="18" t="str">
        <x:v>General / Other</x:v>
      </x:c>
      <x:c r="D19" s="32" t="n">
        <x:v>10</x:v>
      </x:c>
      <x:c r="E19" s="18" t="n">
        <x:v>13</x:v>
      </x:c>
      <x:c r="F19" s="34" t="n">
        <x:v>0</x:v>
      </x:c>
      <x:c r="G19" s="18" t="str">
        <x:v>Maybe</x:v>
      </x:c>
      <x:c r="H19" s="18" t="str">
        <x:v>0 Off calculator</x:v>
      </x:c>
      <x:c r="I19" s="18" t="n">
        <x:v>1</x:v>
      </x:c>
      <x:c r="J19" s="18" t="str">
        <x:v>Easy</x:v>
      </x:c>
      <x:c r="K19" s="18" t="str">
        <x:v>Medium</x:v>
      </x:c>
      <x:c r="L19" s="18" t="str">
        <x:v>Ads</x:v>
      </x:c>
      <x:c r="M19" s="18" t="str">
        <x:v>Promising, validate SERP</x:v>
      </x:c>
    </x:row>
    <x:row r="20">
      <x:c r="A20" s="14" t="n">
        <x:v>19</x:v>
      </x:c>
      <x:c r="B20" s="18" t="str">
        <x:v>calculator keycaps</x:v>
      </x:c>
      <x:c r="C20" s="18" t="str">
        <x:v>General / Other</x:v>
      </x:c>
      <x:c r="D20" s="32" t="n">
        <x:v>30</x:v>
      </x:c>
      <x:c r="E20" s="18" t="n">
        <x:v>14</x:v>
      </x:c>
      <x:c r="F20" s="34" t="n">
        <x:v>0.72</x:v>
      </x:c>
      <x:c r="G20" s="18" t="str">
        <x:v>Maybe</x:v>
      </x:c>
      <x:c r="H20" s="18" t="str">
        <x:v>Keycaps calculator</x:v>
      </x:c>
      <x:c r="I20" s="18" t="n">
        <x:v>1</x:v>
      </x:c>
      <x:c r="J20" s="18" t="str">
        <x:v>Easy</x:v>
      </x:c>
      <x:c r="K20" s="18" t="str">
        <x:v>Medium</x:v>
      </x:c>
      <x:c r="L20" s="18" t="str">
        <x:v>Ads</x:v>
      </x:c>
      <x:c r="M20" s="18" t="str">
        <x:v>Promising, validate SERP</x:v>
      </x:c>
    </x:row>
    <x:row r="21">
      <x:c r="A21" s="14" t="n">
        <x:v>20</x:v>
      </x:c>
      <x:c r="B21" s="18" t="str">
        <x:v>calculator blox fruit</x:v>
      </x:c>
      <x:c r="C21" s="18" t="str">
        <x:v>General / Other</x:v>
      </x:c>
      <x:c r="D21" s="32" t="n">
        <x:v>1300</x:v>
      </x:c>
      <x:c r="E21" s="18" t="n">
        <x:v>15</x:v>
      </x:c>
      <x:c r="F21" s="34" t="n">
        <x:v>0</x:v>
      </x:c>
      <x:c r="G21" s="18" t="str">
        <x:v>Maybe</x:v>
      </x:c>
      <x:c r="H21" s="18" t="str">
        <x:v>Blox Fruit calculator</x:v>
      </x:c>
      <x:c r="I21" s="18" t="n">
        <x:v>1</x:v>
      </x:c>
      <x:c r="J21" s="18" t="str">
        <x:v>Easy</x:v>
      </x:c>
      <x:c r="K21" s="18" t="str">
        <x:v>Medium</x:v>
      </x:c>
      <x:c r="L21" s="18" t="str">
        <x:v>Ads</x:v>
      </x:c>
      <x:c r="M21" s="18" t="str">
        <x:v>Promising, validate SERP</x:v>
      </x:c>
    </x:row>
    <x:row r="22">
      <x:c r="A22" s="14" t="n">
        <x:v>21</x:v>
      </x:c>
      <x:c r="B22" s="18" t="str">
        <x:v>calculator extra mortgage payments</x:v>
      </x:c>
      <x:c r="C22" s="18" t="str">
        <x:v>Mortgage &amp; Real Estate</x:v>
      </x:c>
      <x:c r="D22" s="32" t="n">
        <x:v>33100</x:v>
      </x:c>
      <x:c r="E22" s="18" t="n">
        <x:v>16</x:v>
      </x:c>
      <x:c r="F22" s="34" t="n">
        <x:v>1.37</x:v>
      </x:c>
      <x:c r="G22" s="18" t="str">
        <x:v>Yes</x:v>
      </x:c>
      <x:c r="H22" s="18" t="str">
        <x:v>Mortgage payment calculator</x:v>
      </x:c>
      <x:c r="I22" s="18" t="n">
        <x:v>7</x:v>
      </x:c>
      <x:c r="J22" s="18" t="str">
        <x:v>Medium</x:v>
      </x:c>
      <x:c r="K22" s="18" t="str">
        <x:v>High</x:v>
      </x:c>
      <x:c r="L22" s="18" t="str">
        <x:v>Leads / Ads / Affiliate</x:v>
      </x:c>
      <x:c r="M22" s="18" t="str">
        <x:v>Strong candidate</x:v>
      </x:c>
    </x:row>
    <x:row r="23">
      <x:c r="A23" s="14" t="n">
        <x:v>22</x:v>
      </x:c>
      <x:c r="B23" s="18" t="str">
        <x:v>calculator exchange rate</x:v>
      </x:c>
      <x:c r="C23" s="18" t="str">
        <x:v>General / Other</x:v>
      </x:c>
      <x:c r="D23" s="32" t="n">
        <x:v>6600</x:v>
      </x:c>
      <x:c r="E23" s="18" t="n">
        <x:v>16</x:v>
      </x:c>
      <x:c r="F23" s="34" t="n">
        <x:v>0.36</x:v>
      </x:c>
      <x:c r="G23" s="18" t="str">
        <x:v>Maybe</x:v>
      </x:c>
      <x:c r="H23" s="18" t="str">
        <x:v>Exchange Rate calculator</x:v>
      </x:c>
      <x:c r="I23" s="18" t="n">
        <x:v>1</x:v>
      </x:c>
      <x:c r="J23" s="18" t="str">
        <x:v>Easy</x:v>
      </x:c>
      <x:c r="K23" s="18" t="str">
        <x:v>Medium</x:v>
      </x:c>
      <x:c r="L23" s="18" t="str">
        <x:v>Ads</x:v>
      </x:c>
      <x:c r="M23" s="18" t="str">
        <x:v>Promising, validate SERP</x:v>
      </x:c>
    </x:row>
    <x:row r="24">
      <x:c r="A24" s="14" t="n">
        <x:v>23</x:v>
      </x:c>
      <x:c r="B24" s="18" t="str">
        <x:v>calculator evolution</x:v>
      </x:c>
      <x:c r="C24" s="18" t="str">
        <x:v>General / Other</x:v>
      </x:c>
      <x:c r="D24" s="32" t="n">
        <x:v>2400</x:v>
      </x:c>
      <x:c r="E24" s="18" t="n">
        <x:v>16</x:v>
      </x:c>
      <x:c r="F24" s="34" t="n">
        <x:v>0</x:v>
      </x:c>
      <x:c r="G24" s="18" t="str">
        <x:v>Maybe</x:v>
      </x:c>
      <x:c r="H24" s="18" t="str">
        <x:v>Evolution calculator</x:v>
      </x:c>
      <x:c r="I24" s="18" t="n">
        <x:v>1</x:v>
      </x:c>
      <x:c r="J24" s="18" t="str">
        <x:v>Easy</x:v>
      </x:c>
      <x:c r="K24" s="18" t="str">
        <x:v>Medium</x:v>
      </x:c>
      <x:c r="L24" s="18" t="str">
        <x:v>Ads</x:v>
      </x:c>
      <x:c r="M24" s="18" t="str">
        <x:v>Promising, validate SERP</x:v>
      </x:c>
    </x:row>
    <x:row r="25">
      <x:c r="A25" s="14" t="n">
        <x:v>24</x:v>
      </x:c>
      <x:c r="B25" s="18" t="str">
        <x:v>calculator peptide</x:v>
      </x:c>
      <x:c r="C25" s="18" t="str">
        <x:v>General / Other</x:v>
      </x:c>
      <x:c r="D25" s="32" t="n">
        <x:v>210</x:v>
      </x:c>
      <x:c r="E25" s="18" t="n">
        <x:v>17</x:v>
      </x:c>
      <x:c r="F25" s="34" t="n">
        <x:v>0.57</x:v>
      </x:c>
      <x:c r="G25" s="18" t="str">
        <x:v>Maybe</x:v>
      </x:c>
      <x:c r="H25" s="18" t="str">
        <x:v>Peptide calculator</x:v>
      </x:c>
      <x:c r="I25" s="18" t="n">
        <x:v>1</x:v>
      </x:c>
      <x:c r="J25" s="18" t="str">
        <x:v>Easy</x:v>
      </x:c>
      <x:c r="K25" s="18" t="str">
        <x:v>Medium</x:v>
      </x:c>
      <x:c r="L25" s="18" t="str">
        <x:v>Ads</x:v>
      </x:c>
      <x:c r="M25" s="18" t="str">
        <x:v>Promising, validate SERP</x:v>
      </x:c>
    </x:row>
    <x:row r="26">
      <x:c r="A26" s="14" t="n">
        <x:v>25</x:v>
      </x:c>
      <x:c r="B26" s="18" t="str">
        <x:v>calculator for peptides</x:v>
      </x:c>
      <x:c r="C26" s="18" t="str">
        <x:v>General / Other</x:v>
      </x:c>
      <x:c r="D26" s="32" t="n">
        <x:v>90</x:v>
      </x:c>
      <x:c r="E26" s="18" t="n">
        <x:v>17</x:v>
      </x:c>
      <x:c r="F26" s="34" t="n">
        <x:v>0.13</x:v>
      </x:c>
      <x:c r="G26" s="18" t="str">
        <x:v>Maybe</x:v>
      </x:c>
      <x:c r="H26" s="18" t="str">
        <x:v>Peptides calculator</x:v>
      </x:c>
      <x:c r="I26" s="18" t="n">
        <x:v>1</x:v>
      </x:c>
      <x:c r="J26" s="18" t="str">
        <x:v>Easy</x:v>
      </x:c>
      <x:c r="K26" s="18" t="str">
        <x:v>Medium</x:v>
      </x:c>
      <x:c r="L26" s="18" t="str">
        <x:v>Ads</x:v>
      </x:c>
      <x:c r="M26" s="18" t="str">
        <x:v>Promising, validate SERP</x:v>
      </x:c>
    </x:row>
    <x:row r="27">
      <x:c r="A27" s="14" t="n">
        <x:v>26</x:v>
      </x:c>
      <x:c r="B27" s="18" t="str">
        <x:v>calculator kinetics</x:v>
      </x:c>
      <x:c r="C27" s="18" t="str">
        <x:v>General / Other</x:v>
      </x:c>
      <x:c r="D27" s="32" t="n">
        <x:v>0</x:v>
      </x:c>
      <x:c r="E27" s="18" t="n">
        <x:v>17</x:v>
      </x:c>
      <x:c r="F27" s="34" t="n">
        <x:v>0</x:v>
      </x:c>
      <x:c r="G27" s="18" t="str">
        <x:v>Maybe</x:v>
      </x:c>
      <x:c r="H27" s="18" t="str">
        <x:v>Kinetics calculator</x:v>
      </x:c>
      <x:c r="I27" s="18" t="n">
        <x:v>1</x:v>
      </x:c>
      <x:c r="J27" s="18" t="str">
        <x:v>Easy</x:v>
      </x:c>
      <x:c r="K27" s="18" t="str">
        <x:v>Medium</x:v>
      </x:c>
      <x:c r="L27" s="18" t="str">
        <x:v>Ads</x:v>
      </x:c>
      <x:c r="M27" s="18" t="str">
        <x:v>Promising, validate SERP</x:v>
      </x:c>
    </x:row>
    <x:row r="28">
      <x:c r="A28" s="14" t="n">
        <x:v>27</x:v>
      </x:c>
      <x:c r="B28" s="18" t="str">
        <x:v>calculator 1/2</x:v>
      </x:c>
      <x:c r="C28" s="18" t="str">
        <x:v>General / Other</x:v>
      </x:c>
      <x:c r="D28" s="32" t="n">
        <x:v>170</x:v>
      </x:c>
      <x:c r="E28" s="18" t="n">
        <x:v>18</x:v>
      </x:c>
      <x:c r="F28" s="34" t="n">
        <x:v>0</x:v>
      </x:c>
      <x:c r="G28" s="18" t="str">
        <x:v>Maybe</x:v>
      </x:c>
      <x:c r="H28" s="18" t="str">
        <x:v>1/2 calculator</x:v>
      </x:c>
      <x:c r="I28" s="18" t="n">
        <x:v>1</x:v>
      </x:c>
      <x:c r="J28" s="18" t="str">
        <x:v>Easy</x:v>
      </x:c>
      <x:c r="K28" s="18" t="str">
        <x:v>Medium</x:v>
      </x:c>
      <x:c r="L28" s="18" t="str">
        <x:v>Ads</x:v>
      </x:c>
      <x:c r="M28" s="18" t="str">
        <x:v>Promising, validate SERP</x:v>
      </x:c>
    </x:row>
    <x:row r="29">
      <x:c r="A29" s="14" t="n">
        <x:v>28</x:v>
      </x:c>
      <x:c r="B29" s="18" t="str">
        <x:v>calculator 8 digit</x:v>
      </x:c>
      <x:c r="C29" s="18" t="str">
        <x:v>General / Other</x:v>
      </x:c>
      <x:c r="D29" s="32" t="n">
        <x:v>90</x:v>
      </x:c>
      <x:c r="E29" s="18" t="n">
        <x:v>18</x:v>
      </x:c>
      <x:c r="F29" s="34" t="n">
        <x:v>0.37</x:v>
      </x:c>
      <x:c r="G29" s="18" t="str">
        <x:v>Maybe</x:v>
      </x:c>
      <x:c r="H29" s="18" t="str">
        <x:v>8 Digit calculator</x:v>
      </x:c>
      <x:c r="I29" s="18" t="n">
        <x:v>1</x:v>
      </x:c>
      <x:c r="J29" s="18" t="str">
        <x:v>Easy</x:v>
      </x:c>
      <x:c r="K29" s="18" t="str">
        <x:v>Medium</x:v>
      </x:c>
      <x:c r="L29" s="18" t="str">
        <x:v>Ads</x:v>
      </x:c>
      <x:c r="M29" s="18" t="str">
        <x:v>Promising, validate SERP</x:v>
      </x:c>
    </x:row>
    <x:row r="30">
      <x:c r="A30" s="14" t="n">
        <x:v>29</x:v>
      </x:c>
      <x:c r="B30" s="18" t="str">
        <x:v>calculator key nyt</x:v>
      </x:c>
      <x:c r="C30" s="18" t="str">
        <x:v>General / Other</x:v>
      </x:c>
      <x:c r="D30" s="32" t="n">
        <x:v>70</x:v>
      </x:c>
      <x:c r="E30" s="18" t="n">
        <x:v>18</x:v>
      </x:c>
      <x:c r="F30" s="34" t="n">
        <x:v>0</x:v>
      </x:c>
      <x:c r="G30" s="18" t="str">
        <x:v>Maybe</x:v>
      </x:c>
      <x:c r="H30" s="18" t="str">
        <x:v>Key Nyt calculator</x:v>
      </x:c>
      <x:c r="I30" s="18" t="n">
        <x:v>1</x:v>
      </x:c>
      <x:c r="J30" s="18" t="str">
        <x:v>Easy</x:v>
      </x:c>
      <x:c r="K30" s="18" t="str">
        <x:v>Medium</x:v>
      </x:c>
      <x:c r="L30" s="18" t="str">
        <x:v>Ads</x:v>
      </x:c>
      <x:c r="M30" s="18" t="str">
        <x:v>Promising, validate SERP</x:v>
      </x:c>
    </x:row>
    <x:row r="31">
      <x:c r="A31" s="14" t="n">
        <x:v>30</x:v>
      </x:c>
      <x:c r="B31" s="18" t="str">
        <x:v>calculator 1960s</x:v>
      </x:c>
      <x:c r="C31" s="18" t="str">
        <x:v>General / Other</x:v>
      </x:c>
      <x:c r="D31" s="32" t="n">
        <x:v>20</x:v>
      </x:c>
      <x:c r="E31" s="18" t="n">
        <x:v>18</x:v>
      </x:c>
      <x:c r="F31" s="34" t="n">
        <x:v>0</x:v>
      </x:c>
      <x:c r="G31" s="18" t="str">
        <x:v>Maybe</x:v>
      </x:c>
      <x:c r="H31" s="18" t="str">
        <x:v>1960S calculator</x:v>
      </x:c>
      <x:c r="I31" s="18" t="n">
        <x:v>1</x:v>
      </x:c>
      <x:c r="J31" s="18" t="str">
        <x:v>Easy</x:v>
      </x:c>
      <x:c r="K31" s="18" t="str">
        <x:v>Medium</x:v>
      </x:c>
      <x:c r="L31" s="18" t="str">
        <x:v>Ads</x:v>
      </x:c>
      <x:c r="M31" s="18" t="str">
        <x:v>Promising, validate SERP</x:v>
      </x:c>
    </x:row>
    <x:row r="32">
      <x:c r="A32" s="14" t="n">
        <x:v>31</x:v>
      </x:c>
      <x:c r="B32" s="18" t="str">
        <x:v>calculator 1rm</x:v>
      </x:c>
      <x:c r="C32" s="18" t="str">
        <x:v>General / Other</x:v>
      </x:c>
      <x:c r="D32" s="32" t="n">
        <x:v>20</x:v>
      </x:c>
      <x:c r="E32" s="18" t="n">
        <x:v>18</x:v>
      </x:c>
      <x:c r="F32" s="34" t="n">
        <x:v>0</x:v>
      </x:c>
      <x:c r="G32" s="18" t="str">
        <x:v>Maybe</x:v>
      </x:c>
      <x:c r="H32" s="18" t="str">
        <x:v>1Rm calculator</x:v>
      </x:c>
      <x:c r="I32" s="18" t="n">
        <x:v>1</x:v>
      </x:c>
      <x:c r="J32" s="18" t="str">
        <x:v>Easy</x:v>
      </x:c>
      <x:c r="K32" s="18" t="str">
        <x:v>Medium</x:v>
      </x:c>
      <x:c r="L32" s="18" t="str">
        <x:v>Ads</x:v>
      </x:c>
      <x:c r="M32" s="18" t="str">
        <x:v>Promising, validate SERP</x:v>
      </x:c>
    </x:row>
    <x:row r="33">
      <x:c r="A33" s="14" t="n">
        <x:v>32</x:v>
      </x:c>
      <x:c r="B33" s="18" t="str">
        <x:v>calculator jpg</x:v>
      </x:c>
      <x:c r="C33" s="18" t="str">
        <x:v>General / Other</x:v>
      </x:c>
      <x:c r="D33" s="32" t="n">
        <x:v>20</x:v>
      </x:c>
      <x:c r="E33" s="18" t="n">
        <x:v>18</x:v>
      </x:c>
      <x:c r="F33" s="34" t="n">
        <x:v>0</x:v>
      </x:c>
      <x:c r="G33" s="18" t="str">
        <x:v>Maybe</x:v>
      </x:c>
      <x:c r="H33" s="18" t="str">
        <x:v>Jpg calculator</x:v>
      </x:c>
      <x:c r="I33" s="18" t="n">
        <x:v>1</x:v>
      </x:c>
      <x:c r="J33" s="18" t="str">
        <x:v>Easy</x:v>
      </x:c>
      <x:c r="K33" s="18" t="str">
        <x:v>Medium</x:v>
      </x:c>
      <x:c r="L33" s="18" t="str">
        <x:v>Ads</x:v>
      </x:c>
      <x:c r="M33" s="18" t="str">
        <x:v>Promising, validate SERP</x:v>
      </x:c>
    </x:row>
    <x:row r="34">
      <x:c r="A34" s="14" t="n">
        <x:v>33</x:v>
      </x:c>
      <x:c r="B34" s="18" t="str">
        <x:v>calculator zile</x:v>
      </x:c>
      <x:c r="C34" s="18" t="str">
        <x:v>General / Other</x:v>
      </x:c>
      <x:c r="D34" s="32" t="n">
        <x:v>10</x:v>
      </x:c>
      <x:c r="E34" s="18" t="n">
        <x:v>18</x:v>
      </x:c>
      <x:c r="F34" s="34" t="n">
        <x:v>0</x:v>
      </x:c>
      <x:c r="G34" s="18" t="str">
        <x:v>Maybe</x:v>
      </x:c>
      <x:c r="H34" s="18" t="str">
        <x:v>Zile calculator</x:v>
      </x:c>
      <x:c r="I34" s="18" t="n">
        <x:v>1</x:v>
      </x:c>
      <x:c r="J34" s="18" t="str">
        <x:v>Easy</x:v>
      </x:c>
      <x:c r="K34" s="18" t="str">
        <x:v>Medium</x:v>
      </x:c>
      <x:c r="L34" s="18" t="str">
        <x:v>Ads</x:v>
      </x:c>
      <x:c r="M34" s="18" t="str">
        <x:v>Promising, validate SERP</x:v>
      </x:c>
    </x:row>
    <x:row r="35">
      <x:c r="A35" s="14" t="n">
        <x:v>34</x:v>
      </x:c>
      <x:c r="B35" s="18" t="str">
        <x:v>calculator showdown</x:v>
      </x:c>
      <x:c r="C35" s="18" t="str">
        <x:v>General / Other</x:v>
      </x:c>
      <x:c r="D35" s="32" t="n">
        <x:v>4400</x:v>
      </x:c>
      <x:c r="E35" s="18" t="n">
        <x:v>19</x:v>
      </x:c>
      <x:c r="F35" s="34" t="n">
        <x:v>0</x:v>
      </x:c>
      <x:c r="G35" s="18" t="str">
        <x:v>Maybe</x:v>
      </x:c>
      <x:c r="H35" s="18" t="str">
        <x:v>Showdown calculator</x:v>
      </x:c>
      <x:c r="I35" s="18" t="n">
        <x:v>1</x:v>
      </x:c>
      <x:c r="J35" s="18" t="str">
        <x:v>Easy</x:v>
      </x:c>
      <x:c r="K35" s="18" t="str">
        <x:v>Medium</x:v>
      </x:c>
      <x:c r="L35" s="18" t="str">
        <x:v>Ads</x:v>
      </x:c>
      <x:c r="M35" s="18" t="str">
        <x:v>Promising, validate SERP</x:v>
      </x:c>
    </x:row>
    <x:row r="36">
      <x:c r="A36" s="14" t="n">
        <x:v>35</x:v>
      </x:c>
      <x:c r="B36" s="18" t="str">
        <x:v>calculator emoji</x:v>
      </x:c>
      <x:c r="C36" s="18" t="str">
        <x:v>General / Other</x:v>
      </x:c>
      <x:c r="D36" s="32" t="n">
        <x:v>1300</x:v>
      </x:c>
      <x:c r="E36" s="18" t="n">
        <x:v>19</x:v>
      </x:c>
      <x:c r="F36" s="34" t="n">
        <x:v>0</x:v>
      </x:c>
      <x:c r="G36" s="18" t="str">
        <x:v>Maybe</x:v>
      </x:c>
      <x:c r="H36" s="18" t="str">
        <x:v>Emoji calculator</x:v>
      </x:c>
      <x:c r="I36" s="18" t="n">
        <x:v>1</x:v>
      </x:c>
      <x:c r="J36" s="18" t="str">
        <x:v>Easy</x:v>
      </x:c>
      <x:c r="K36" s="18" t="str">
        <x:v>Medium</x:v>
      </x:c>
      <x:c r="L36" s="18" t="str">
        <x:v>Ads</x:v>
      </x:c>
      <x:c r="M36" s="18" t="str">
        <x:v>Promising, validate SERP</x:v>
      </x:c>
    </x:row>
    <x:row r="37">
      <x:c r="A37" s="14" t="n">
        <x:v>36</x:v>
      </x:c>
      <x:c r="B37" s="18" t="str">
        <x:v>calculator exercises</x:v>
      </x:c>
      <x:c r="C37" s="18" t="str">
        <x:v>General / Other</x:v>
      </x:c>
      <x:c r="D37" s="32" t="n">
        <x:v>880</x:v>
      </x:c>
      <x:c r="E37" s="18" t="n">
        <x:v>19</x:v>
      </x:c>
      <x:c r="F37" s="34" t="n">
        <x:v>2.66</x:v>
      </x:c>
      <x:c r="G37" s="18" t="str">
        <x:v>Maybe</x:v>
      </x:c>
      <x:c r="H37" s="18" t="str">
        <x:v>Exercises calculator</x:v>
      </x:c>
      <x:c r="I37" s="18" t="n">
        <x:v>1</x:v>
      </x:c>
      <x:c r="J37" s="18" t="str">
        <x:v>Easy</x:v>
      </x:c>
      <x:c r="K37" s="18" t="str">
        <x:v>Medium</x:v>
      </x:c>
      <x:c r="L37" s="18" t="str">
        <x:v>Ads</x:v>
      </x:c>
      <x:c r="M37" s="18" t="str">
        <x:v>Promising, validate SERP</x:v>
      </x:c>
    </x:row>
    <x:row r="38">
      <x:c r="A38" s="14" t="n">
        <x:v>37</x:v>
      </x:c>
      <x:c r="B38" s="18" t="str">
        <x:v>calculator apk</x:v>
      </x:c>
      <x:c r="C38" s="18" t="str">
        <x:v>General / Other</x:v>
      </x:c>
      <x:c r="D38" s="32" t="n">
        <x:v>140</x:v>
      </x:c>
      <x:c r="E38" s="18" t="n">
        <x:v>19</x:v>
      </x:c>
      <x:c r="F38" s="34" t="n">
        <x:v>1.02</x:v>
      </x:c>
      <x:c r="G38" s="18" t="str">
        <x:v>Maybe</x:v>
      </x:c>
      <x:c r="H38" s="18" t="str">
        <x:v>Apk calculator</x:v>
      </x:c>
      <x:c r="I38" s="18" t="n">
        <x:v>1</x:v>
      </x:c>
      <x:c r="J38" s="18" t="str">
        <x:v>Easy</x:v>
      </x:c>
      <x:c r="K38" s="18" t="str">
        <x:v>Medium</x:v>
      </x:c>
      <x:c r="L38" s="18" t="str">
        <x:v>Ads</x:v>
      </x:c>
      <x:c r="M38" s="18" t="str">
        <x:v>Promising, validate SERP</x:v>
      </x:c>
    </x:row>
    <x:row r="39">
      <x:c r="A39" s="14" t="n">
        <x:v>38</x:v>
      </x:c>
      <x:c r="B39" s="18" t="str">
        <x:v>calculator running</x:v>
      </x:c>
      <x:c r="C39" s="18" t="str">
        <x:v>General / Other</x:v>
      </x:c>
      <x:c r="D39" s="32" t="n">
        <x:v>3600</x:v>
      </x:c>
      <x:c r="E39" s="18" t="n">
        <x:v>20</x:v>
      </x:c>
      <x:c r="F39" s="34" t="n">
        <x:v>2.3</x:v>
      </x:c>
      <x:c r="G39" s="18" t="str">
        <x:v>Maybe</x:v>
      </x:c>
      <x:c r="H39" s="18" t="str">
        <x:v>Running calculator</x:v>
      </x:c>
      <x:c r="I39" s="18" t="n">
        <x:v>1</x:v>
      </x:c>
      <x:c r="J39" s="18" t="str">
        <x:v>Easy</x:v>
      </x:c>
      <x:c r="K39" s="18" t="str">
        <x:v>Medium</x:v>
      </x:c>
      <x:c r="L39" s="18" t="str">
        <x:v>Ads</x:v>
      </x:c>
      <x:c r="M39" s="18" t="str">
        <x:v>Promising, validate SERP</x:v>
      </x:c>
    </x:row>
    <x:row r="40">
      <x:c r="A40" s="14" t="n">
        <x:v>39</x:v>
      </x:c>
      <x:c r="B40" s="18" t="str">
        <x:v>calculator on asvab</x:v>
      </x:c>
      <x:c r="C40" s="18" t="str">
        <x:v>General / Other</x:v>
      </x:c>
      <x:c r="D40" s="32" t="n">
        <x:v>1000</x:v>
      </x:c>
      <x:c r="E40" s="18" t="n">
        <x:v>20</x:v>
      </x:c>
      <x:c r="F40" s="34" t="n">
        <x:v>4.73</x:v>
      </x:c>
      <x:c r="G40" s="18" t="str">
        <x:v>Maybe</x:v>
      </x:c>
      <x:c r="H40" s="18" t="str">
        <x:v>On Asvab calculator</x:v>
      </x:c>
      <x:c r="I40" s="18" t="n">
        <x:v>1</x:v>
      </x:c>
      <x:c r="J40" s="18" t="str">
        <x:v>Easy</x:v>
      </x:c>
      <x:c r="K40" s="18" t="str">
        <x:v>Medium</x:v>
      </x:c>
      <x:c r="L40" s="18" t="str">
        <x:v>Ads</x:v>
      </x:c>
      <x:c r="M40" s="18" t="str">
        <x:v>Promising, validate SERP</x:v>
      </x:c>
    </x:row>
    <x:row r="41">
      <x:c r="A41" s="14" t="n">
        <x:v>40</x:v>
      </x:c>
      <x:c r="B41" s="18" t="str">
        <x:v>calculator job</x:v>
      </x:c>
      <x:c r="C41" s="18" t="str">
        <x:v>General / Other</x:v>
      </x:c>
      <x:c r="D41" s="32" t="n">
        <x:v>880</x:v>
      </x:c>
      <x:c r="E41" s="18" t="n">
        <x:v>20</x:v>
      </x:c>
      <x:c r="F41" s="34" t="n">
        <x:v>5.07</x:v>
      </x:c>
      <x:c r="G41" s="18" t="str">
        <x:v>Maybe</x:v>
      </x:c>
      <x:c r="H41" s="18" t="str">
        <x:v>Job calculator</x:v>
      </x:c>
      <x:c r="I41" s="18" t="n">
        <x:v>1</x:v>
      </x:c>
      <x:c r="J41" s="18" t="str">
        <x:v>Easy</x:v>
      </x:c>
      <x:c r="K41" s="18" t="str">
        <x:v>Medium</x:v>
      </x:c>
      <x:c r="L41" s="18" t="str">
        <x:v>Ads</x:v>
      </x:c>
      <x:c r="M41" s="18" t="str">
        <x:v>Promising, validate SERP</x:v>
      </x:c>
    </x:row>
    <x:row r="42">
      <x:c r="A42" s="14" t="n">
        <x:v>41</x:v>
      </x:c>
      <x:c r="B42" s="18" t="str">
        <x:v>calculator questions</x:v>
      </x:c>
      <x:c r="C42" s="18" t="str">
        <x:v>General / Other</x:v>
      </x:c>
      <x:c r="D42" s="32" t="n">
        <x:v>210</x:v>
      </x:c>
      <x:c r="E42" s="18" t="n">
        <x:v>20</x:v>
      </x:c>
      <x:c r="F42" s="34" t="n">
        <x:v>0</x:v>
      </x:c>
      <x:c r="G42" s="18" t="str">
        <x:v>Maybe</x:v>
      </x:c>
      <x:c r="H42" s="18" t="str">
        <x:v>Questions calculator</x:v>
      </x:c>
      <x:c r="I42" s="18" t="n">
        <x:v>1</x:v>
      </x:c>
      <x:c r="J42" s="18" t="str">
        <x:v>Easy</x:v>
      </x:c>
      <x:c r="K42" s="18" t="str">
        <x:v>Medium</x:v>
      </x:c>
      <x:c r="L42" s="18" t="str">
        <x:v>Ads</x:v>
      </x:c>
      <x:c r="M42" s="18" t="str">
        <x:v>Promising, validate SERP</x:v>
      </x:c>
    </x:row>
    <x:row r="43">
      <x:c r="A43" s="14" t="n">
        <x:v>42</x:v>
      </x:c>
      <x:c r="B43" s="18" t="str">
        <x:v>calculator money converter</x:v>
      </x:c>
      <x:c r="C43" s="18" t="str">
        <x:v>General / Other</x:v>
      </x:c>
      <x:c r="D43" s="32" t="n">
        <x:v>22200</x:v>
      </x:c>
      <x:c r="E43" s="18" t="n">
        <x:v>21</x:v>
      </x:c>
      <x:c r="F43" s="34" t="n">
        <x:v>0.3</x:v>
      </x:c>
      <x:c r="G43" s="18" t="str">
        <x:v>Maybe</x:v>
      </x:c>
      <x:c r="H43" s="18" t="str">
        <x:v>Money Converter</x:v>
      </x:c>
      <x:c r="I43" s="18" t="n">
        <x:v>1</x:v>
      </x:c>
      <x:c r="J43" s="18" t="str">
        <x:v>Easy</x:v>
      </x:c>
      <x:c r="K43" s="18" t="str">
        <x:v>Medium</x:v>
      </x:c>
      <x:c r="L43" s="18" t="str">
        <x:v>Ads</x:v>
      </x:c>
      <x:c r="M43" s="18" t="str">
        <x:v>Promising, validate SERP</x:v>
      </x:c>
    </x:row>
    <x:row r="44">
      <x:c r="A44" s="14" t="n">
        <x:v>43</x:v>
      </x:c>
      <x:c r="B44" s="18" t="str">
        <x:v>calculator emi</x:v>
      </x:c>
      <x:c r="C44" s="18" t="str">
        <x:v>General / Other</x:v>
      </x:c>
      <x:c r="D44" s="32" t="n">
        <x:v>9900</x:v>
      </x:c>
      <x:c r="E44" s="18" t="n">
        <x:v>21</x:v>
      </x:c>
      <x:c r="F44" s="34" t="n">
        <x:v>2.5</x:v>
      </x:c>
      <x:c r="G44" s="18" t="str">
        <x:v>Maybe</x:v>
      </x:c>
      <x:c r="H44" s="18" t="str">
        <x:v>Emi calculator</x:v>
      </x:c>
      <x:c r="I44" s="18" t="n">
        <x:v>1</x:v>
      </x:c>
      <x:c r="J44" s="18" t="str">
        <x:v>Easy</x:v>
      </x:c>
      <x:c r="K44" s="18" t="str">
        <x:v>Medium</x:v>
      </x:c>
      <x:c r="L44" s="18" t="str">
        <x:v>Ads</x:v>
      </x:c>
      <x:c r="M44" s="18" t="str">
        <x:v>Promising, validate SERP</x:v>
      </x:c>
    </x:row>
    <x:row r="45">
      <x:c r="A45" s="14" t="n">
        <x:v>44</x:v>
      </x:c>
      <x:c r="B45" s="18" t="str">
        <x:v>calculator holder</x:v>
      </x:c>
      <x:c r="C45" s="18" t="str">
        <x:v>General / Other</x:v>
      </x:c>
      <x:c r="D45" s="32" t="n">
        <x:v>390</x:v>
      </x:c>
      <x:c r="E45" s="18" t="n">
        <x:v>21</x:v>
      </x:c>
      <x:c r="F45" s="34" t="n">
        <x:v>0.37</x:v>
      </x:c>
      <x:c r="G45" s="18" t="str">
        <x:v>Maybe</x:v>
      </x:c>
      <x:c r="H45" s="18" t="str">
        <x:v>Holder calculator</x:v>
      </x:c>
      <x:c r="I45" s="18" t="n">
        <x:v>1</x:v>
      </x:c>
      <x:c r="J45" s="18" t="str">
        <x:v>Easy</x:v>
      </x:c>
      <x:c r="K45" s="18" t="str">
        <x:v>Medium</x:v>
      </x:c>
      <x:c r="L45" s="18" t="str">
        <x:v>Ads</x:v>
      </x:c>
      <x:c r="M45" s="18" t="str">
        <x:v>Promising, validate SERP</x:v>
      </x:c>
    </x:row>
    <x:row r="46">
      <x:c r="A46" s="14" t="n">
        <x:v>45</x:v>
      </x:c>
      <x:c r="B46" s="18" t="str">
        <x:v>calculator ribbon</x:v>
      </x:c>
      <x:c r="C46" s="18" t="str">
        <x:v>General / Other</x:v>
      </x:c>
      <x:c r="D46" s="32" t="n">
        <x:v>390</x:v>
      </x:c>
      <x:c r="E46" s="18" t="n">
        <x:v>21</x:v>
      </x:c>
      <x:c r="F46" s="34" t="n">
        <x:v>1.05</x:v>
      </x:c>
      <x:c r="G46" s="18" t="str">
        <x:v>Maybe</x:v>
      </x:c>
      <x:c r="H46" s="18" t="str">
        <x:v>Ribbon calculator</x:v>
      </x:c>
      <x:c r="I46" s="18" t="n">
        <x:v>1</x:v>
      </x:c>
      <x:c r="J46" s="18" t="str">
        <x:v>Easy</x:v>
      </x:c>
      <x:c r="K46" s="18" t="str">
        <x:v>Medium</x:v>
      </x:c>
      <x:c r="L46" s="18" t="str">
        <x:v>Ads</x:v>
      </x:c>
      <x:c r="M46" s="18" t="str">
        <x:v>Promising, validate SERP</x:v>
      </x:c>
    </x:row>
    <x:row r="47">
      <x:c r="A47" s="14" t="n">
        <x:v>46</x:v>
      </x:c>
      <x:c r="B47" s="18" t="str">
        <x:v>calculator in german</x:v>
      </x:c>
      <x:c r="C47" s="18" t="str">
        <x:v>General / Other</x:v>
      </x:c>
      <x:c r="D47" s="32" t="n">
        <x:v>260</x:v>
      </x:c>
      <x:c r="E47" s="18" t="n">
        <x:v>21</x:v>
      </x:c>
      <x:c r="F47" s="34" t="n">
        <x:v>0</x:v>
      </x:c>
      <x:c r="G47" s="18" t="str">
        <x:v>Maybe</x:v>
      </x:c>
      <x:c r="H47" s="18" t="str">
        <x:v>In German calculator</x:v>
      </x:c>
      <x:c r="I47" s="18" t="n">
        <x:v>1</x:v>
      </x:c>
      <x:c r="J47" s="18" t="str">
        <x:v>Easy</x:v>
      </x:c>
      <x:c r="K47" s="18" t="str">
        <x:v>Medium</x:v>
      </x:c>
      <x:c r="L47" s="18" t="str">
        <x:v>Ads</x:v>
      </x:c>
      <x:c r="M47" s="18" t="str">
        <x:v>Promising, validate SERP</x:v>
      </x:c>
    </x:row>
    <x:row r="48">
      <x:c r="A48" s="14" t="n">
        <x:v>47</x:v>
      </x:c>
      <x:c r="B48" s="18" t="str">
        <x:v>calculator rental</x:v>
      </x:c>
      <x:c r="C48" s="18" t="str">
        <x:v>General / Other</x:v>
      </x:c>
      <x:c r="D48" s="32" t="n">
        <x:v>170</x:v>
      </x:c>
      <x:c r="E48" s="18" t="n">
        <x:v>21</x:v>
      </x:c>
      <x:c r="F48" s="34" t="n">
        <x:v>0</x:v>
      </x:c>
      <x:c r="G48" s="18" t="str">
        <x:v>Maybe</x:v>
      </x:c>
      <x:c r="H48" s="18" t="str">
        <x:v>Rental calculator</x:v>
      </x:c>
      <x:c r="I48" s="18" t="n">
        <x:v>1</x:v>
      </x:c>
      <x:c r="J48" s="18" t="str">
        <x:v>Easy</x:v>
      </x:c>
      <x:c r="K48" s="18" t="str">
        <x:v>Medium</x:v>
      </x:c>
      <x:c r="L48" s="18" t="str">
        <x:v>Ads</x:v>
      </x:c>
      <x:c r="M48" s="18" t="str">
        <x:v>Promising, validate SERP</x:v>
      </x:c>
    </x:row>
    <x:row r="49">
      <x:c r="A49" s="14" t="n">
        <x:v>48</x:v>
      </x:c>
      <x:c r="B49" s="18" t="str">
        <x:v>calculator quiz</x:v>
      </x:c>
      <x:c r="C49" s="18" t="str">
        <x:v>General / Other</x:v>
      </x:c>
      <x:c r="D49" s="32" t="n">
        <x:v>90</x:v>
      </x:c>
      <x:c r="E49" s="18" t="n">
        <x:v>21</x:v>
      </x:c>
      <x:c r="F49" s="34" t="n">
        <x:v>30.03</x:v>
      </x:c>
      <x:c r="G49" s="18" t="str">
        <x:v>Maybe</x:v>
      </x:c>
      <x:c r="H49" s="18" t="str">
        <x:v>Quiz calculator</x:v>
      </x:c>
      <x:c r="I49" s="18" t="n">
        <x:v>1</x:v>
      </x:c>
      <x:c r="J49" s="18" t="str">
        <x:v>Easy</x:v>
      </x:c>
      <x:c r="K49" s="18" t="str">
        <x:v>Medium</x:v>
      </x:c>
      <x:c r="L49" s="18" t="str">
        <x:v>Ads</x:v>
      </x:c>
      <x:c r="M49" s="18" t="str">
        <x:v>Promising, validate SERP</x:v>
      </x:c>
    </x:row>
    <x:row r="50">
      <x:c r="A50" s="14" t="n">
        <x:v>49</x:v>
      </x:c>
      <x:c r="B50" s="18" t="str">
        <x:v>calculator gas cost</x:v>
      </x:c>
      <x:c r="C50" s="18" t="str">
        <x:v>General / Other</x:v>
      </x:c>
      <x:c r="D50" s="32" t="n">
        <x:v>33100</x:v>
      </x:c>
      <x:c r="E50" s="18" t="n">
        <x:v>22</x:v>
      </x:c>
      <x:c r="F50" s="34" t="n">
        <x:v>4.38</x:v>
      </x:c>
      <x:c r="G50" s="18" t="str">
        <x:v>Maybe</x:v>
      </x:c>
      <x:c r="H50" s="18" t="str">
        <x:v>Gas Cost calculator</x:v>
      </x:c>
      <x:c r="I50" s="18" t="n">
        <x:v>1</x:v>
      </x:c>
      <x:c r="J50" s="18" t="str">
        <x:v>Easy</x:v>
      </x:c>
      <x:c r="K50" s="18" t="str">
        <x:v>Medium</x:v>
      </x:c>
      <x:c r="L50" s="18" t="str">
        <x:v>Ads</x:v>
      </x:c>
      <x:c r="M50" s="18" t="str">
        <x:v>Promising, validate SERP</x:v>
      </x:c>
    </x:row>
    <x:row r="51">
      <x:c r="A51" s="14" t="n">
        <x:v>50</x:v>
      </x:c>
      <x:c r="B51" s="18" t="str">
        <x:v>calculator ring</x:v>
      </x:c>
      <x:c r="C51" s="18" t="str">
        <x:v>General / Other</x:v>
      </x:c>
      <x:c r="D51" s="32" t="n">
        <x:v>170</x:v>
      </x:c>
      <x:c r="E51" s="18" t="n">
        <x:v>22</x:v>
      </x:c>
      <x:c r="F51" s="34" t="n">
        <x:v>1.98</x:v>
      </x:c>
      <x:c r="G51" s="18" t="str">
        <x:v>Maybe</x:v>
      </x:c>
      <x:c r="H51" s="18" t="str">
        <x:v>Ring calculator</x:v>
      </x:c>
      <x:c r="I51" s="18" t="n">
        <x:v>1</x:v>
      </x:c>
      <x:c r="J51" s="18" t="str">
        <x:v>Easy</x:v>
      </x:c>
      <x:c r="K51" s="18" t="str">
        <x:v>Medium</x:v>
      </x:c>
      <x:c r="L51" s="18" t="str">
        <x:v>Ads</x:v>
      </x:c>
      <x:c r="M51" s="18" t="str">
        <x:v>Promising, validate SERP</x:v>
      </x:c>
    </x:row>
    <x:row r="52">
      <x:c r="A52" s="14" t="n">
        <x:v>51</x:v>
      </x:c>
      <x:c r="B52" s="18" t="str">
        <x:v>calculator yes</x:v>
      </x:c>
      <x:c r="C52" s="18" t="str">
        <x:v>General / Other</x:v>
      </x:c>
      <x:c r="D52" s="32" t="n">
        <x:v>10</x:v>
      </x:c>
      <x:c r="E52" s="18" t="n">
        <x:v>22</x:v>
      </x:c>
      <x:c r="F52" s="34" t="n">
        <x:v>0</x:v>
      </x:c>
      <x:c r="G52" s="18" t="str">
        <x:v>Maybe</x:v>
      </x:c>
      <x:c r="H52" s="18" t="str">
        <x:v>Yes calculator</x:v>
      </x:c>
      <x:c r="I52" s="18" t="n">
        <x:v>1</x:v>
      </x:c>
      <x:c r="J52" s="18" t="str">
        <x:v>Easy</x:v>
      </x:c>
      <x:c r="K52" s="18" t="str">
        <x:v>Medium</x:v>
      </x:c>
      <x:c r="L52" s="18" t="str">
        <x:v>Ads</x:v>
      </x:c>
      <x:c r="M52" s="18" t="str">
        <x:v>Promising, validate SERP</x:v>
      </x:c>
    </x:row>
    <x:row r="53">
      <x:c r="A53" s="14" t="n">
        <x:v>52</x:v>
      </x:c>
      <x:c r="B53" s="18" t="str">
        <x:v>calculator exams</x:v>
      </x:c>
      <x:c r="C53" s="18" t="str">
        <x:v>General / Other</x:v>
      </x:c>
      <x:c r="D53" s="32" t="n">
        <x:v>18100</x:v>
      </x:c>
      <x:c r="E53" s="18" t="n">
        <x:v>23</x:v>
      </x:c>
      <x:c r="F53" s="34" t="n">
        <x:v>0</x:v>
      </x:c>
      <x:c r="G53" s="18" t="str">
        <x:v>Maybe</x:v>
      </x:c>
      <x:c r="H53" s="18" t="str">
        <x:v>Exams calculator</x:v>
      </x:c>
      <x:c r="I53" s="18" t="n">
        <x:v>1</x:v>
      </x:c>
      <x:c r="J53" s="18" t="str">
        <x:v>Easy</x:v>
      </x:c>
      <x:c r="K53" s="18" t="str">
        <x:v>Medium</x:v>
      </x:c>
      <x:c r="L53" s="18" t="str">
        <x:v>Ads</x:v>
      </x:c>
      <x:c r="M53" s="18" t="str">
        <x:v>Promising, validate SERP</x:v>
      </x:c>
    </x:row>
    <x:row r="54">
      <x:c r="A54" s="14" t="n">
        <x:v>53</x:v>
      </x:c>
      <x:c r="B54" s="18" t="str">
        <x:v>calculator with remainder</x:v>
      </x:c>
      <x:c r="C54" s="18" t="str">
        <x:v>General / Other</x:v>
      </x:c>
      <x:c r="D54" s="32" t="n">
        <x:v>8100</x:v>
      </x:c>
      <x:c r="E54" s="18" t="n">
        <x:v>23</x:v>
      </x:c>
      <x:c r="F54" s="34" t="n">
        <x:v>0.76</x:v>
      </x:c>
      <x:c r="G54" s="18" t="str">
        <x:v>Maybe</x:v>
      </x:c>
      <x:c r="H54" s="18" t="str">
        <x:v>With Remainder calculator</x:v>
      </x:c>
      <x:c r="I54" s="18" t="n">
        <x:v>1</x:v>
      </x:c>
      <x:c r="J54" s="18" t="str">
        <x:v>Easy</x:v>
      </x:c>
      <x:c r="K54" s="18" t="str">
        <x:v>Medium</x:v>
      </x:c>
      <x:c r="L54" s="18" t="str">
        <x:v>Ads</x:v>
      </x:c>
      <x:c r="M54" s="18" t="str">
        <x:v>Promising, validate SERP</x:v>
      </x:c>
    </x:row>
    <x:row r="55">
      <x:c r="A55" s="14" t="n">
        <x:v>54</x:v>
      </x:c>
      <x:c r="B55" s="18" t="str">
        <x:v>calculator 84 online</x:v>
      </x:c>
      <x:c r="C55" s="18" t="str">
        <x:v>General / Other</x:v>
      </x:c>
      <x:c r="D55" s="32" t="n">
        <x:v>2400</x:v>
      </x:c>
      <x:c r="E55" s="18" t="n">
        <x:v>23</x:v>
      </x:c>
      <x:c r="F55" s="34" t="n">
        <x:v>0.14</x:v>
      </x:c>
      <x:c r="G55" s="18" t="str">
        <x:v>Maybe</x:v>
      </x:c>
      <x:c r="H55" s="18" t="str">
        <x:v>84 calculator</x:v>
      </x:c>
      <x:c r="I55" s="18" t="n">
        <x:v>1</x:v>
      </x:c>
      <x:c r="J55" s="18" t="str">
        <x:v>Easy</x:v>
      </x:c>
      <x:c r="K55" s="18" t="str">
        <x:v>Medium</x:v>
      </x:c>
      <x:c r="L55" s="18" t="str">
        <x:v>Ads</x:v>
      </x:c>
      <x:c r="M55" s="18" t="str">
        <x:v>Promising, validate SERP</x:v>
      </x:c>
    </x:row>
    <x:row r="56">
      <x:c r="A56" s="14" t="n">
        <x:v>55</x:v>
      </x:c>
      <x:c r="B56" s="18" t="str">
        <x:v>calculator movie</x:v>
      </x:c>
      <x:c r="C56" s="18" t="str">
        <x:v>General / Other</x:v>
      </x:c>
      <x:c r="D56" s="32" t="n">
        <x:v>390</x:v>
      </x:c>
      <x:c r="E56" s="18" t="n">
        <x:v>23</x:v>
      </x:c>
      <x:c r="F56" s="34" t="n">
        <x:v>0</x:v>
      </x:c>
      <x:c r="G56" s="18" t="str">
        <x:v>Maybe</x:v>
      </x:c>
      <x:c r="H56" s="18" t="str">
        <x:v>Movie calculator</x:v>
      </x:c>
      <x:c r="I56" s="18" t="n">
        <x:v>1</x:v>
      </x:c>
      <x:c r="J56" s="18" t="str">
        <x:v>Easy</x:v>
      </x:c>
      <x:c r="K56" s="18" t="str">
        <x:v>Medium</x:v>
      </x:c>
      <x:c r="L56" s="18" t="str">
        <x:v>Ads</x:v>
      </x:c>
      <x:c r="M56" s="18" t="str">
        <x:v>Promising, validate SERP</x:v>
      </x:c>
    </x:row>
    <x:row r="57">
      <x:c r="A57" s="14" t="n">
        <x:v>56</x:v>
      </x:c>
      <x:c r="B57" s="18" t="str">
        <x:v>calculator tdee</x:v>
      </x:c>
      <x:c r="C57" s="18" t="str">
        <x:v>Health, Nutrition &amp; Fitness</x:v>
      </x:c>
      <x:c r="D57" s="32" t="n">
        <x:v>390</x:v>
      </x:c>
      <x:c r="E57" s="18" t="n">
        <x:v>23</x:v>
      </x:c>
      <x:c r="F57" s="34" t="n">
        <x:v>0.45</x:v>
      </x:c>
      <x:c r="G57" s="18" t="str">
        <x:v>Yes</x:v>
      </x:c>
      <x:c r="H57" s="18" t="str">
        <x:v>Tdee calculator</x:v>
      </x:c>
      <x:c r="I57" s="18" t="n">
        <x:v>1</x:v>
      </x:c>
      <x:c r="J57" s="18" t="str">
        <x:v>Medium</x:v>
      </x:c>
      <x:c r="K57" s="18" t="str">
        <x:v>Medium</x:v>
      </x:c>
      <x:c r="L57" s="18" t="str">
        <x:v>Ads / Affiliate</x:v>
      </x:c>
      <x:c r="M57" s="18" t="str">
        <x:v>Promising, validate SERP</x:v>
      </x:c>
    </x:row>
    <x:row r="58">
      <x:c r="A58" s="14" t="n">
        <x:v>57</x:v>
      </x:c>
      <x:c r="B58" s="18" t="str">
        <x:v>calculator jumbo</x:v>
      </x:c>
      <x:c r="C58" s="18" t="str">
        <x:v>General / Other</x:v>
      </x:c>
      <x:c r="D58" s="32" t="n">
        <x:v>320</x:v>
      </x:c>
      <x:c r="E58" s="18" t="n">
        <x:v>23</x:v>
      </x:c>
      <x:c r="F58" s="34" t="n">
        <x:v>0.62</x:v>
      </x:c>
      <x:c r="G58" s="18" t="str">
        <x:v>Maybe</x:v>
      </x:c>
      <x:c r="H58" s="18" t="str">
        <x:v>Jumbo calculator</x:v>
      </x:c>
      <x:c r="I58" s="18" t="n">
        <x:v>1</x:v>
      </x:c>
      <x:c r="J58" s="18" t="str">
        <x:v>Easy</x:v>
      </x:c>
      <x:c r="K58" s="18" t="str">
        <x:v>Medium</x:v>
      </x:c>
      <x:c r="L58" s="18" t="str">
        <x:v>Ads</x:v>
      </x:c>
      <x:c r="M58" s="18" t="str">
        <x:v>Promising, validate SERP</x:v>
      </x:c>
    </x:row>
    <x:row r="59">
      <x:c r="A59" s="14" t="n">
        <x:v>58</x:v>
      </x:c>
      <x:c r="B59" s="18" t="str">
        <x:v>calculator june</x:v>
      </x:c>
      <x:c r="C59" s="18" t="str">
        <x:v>General / Other</x:v>
      </x:c>
      <x:c r="D59" s="32" t="n">
        <x:v>10</x:v>
      </x:c>
      <x:c r="E59" s="18" t="n">
        <x:v>23</x:v>
      </x:c>
      <x:c r="F59" s="34" t="n">
        <x:v>0</x:v>
      </x:c>
      <x:c r="G59" s="18" t="str">
        <x:v>Maybe</x:v>
      </x:c>
      <x:c r="H59" s="18" t="str">
        <x:v>June calculator</x:v>
      </x:c>
      <x:c r="I59" s="18" t="n">
        <x:v>1</x:v>
      </x:c>
      <x:c r="J59" s="18" t="str">
        <x:v>Easy</x:v>
      </x:c>
      <x:c r="K59" s="18" t="str">
        <x:v>Medium</x:v>
      </x:c>
      <x:c r="L59" s="18" t="str">
        <x:v>Ads</x:v>
      </x:c>
      <x:c r="M59" s="18" t="str">
        <x:v>Promising, validate SERP</x:v>
      </x:c>
    </x:row>
    <x:row r="60">
      <x:c r="A60" s="14" t="n">
        <x:v>59</x:v>
      </x:c>
      <x:c r="B60" s="18" t="str">
        <x:v>calculator used for statistics</x:v>
      </x:c>
      <x:c r="C60" s="18" t="str">
        <x:v>Math &amp; Education</x:v>
      </x:c>
      <x:c r="D60" s="32" t="n">
        <x:v>10</x:v>
      </x:c>
      <x:c r="E60" s="18" t="n">
        <x:v>23</x:v>
      </x:c>
      <x:c r="F60" s="34" t="n">
        <x:v>0.43</x:v>
      </x:c>
      <x:c r="G60" s="18" t="str">
        <x:v>Yes</x:v>
      </x:c>
      <x:c r="H60" s="18" t="str">
        <x:v>Used Statistics calculator</x:v>
      </x:c>
      <x:c r="I60" s="18" t="n">
        <x:v>1</x:v>
      </x:c>
      <x:c r="J60" s="18" t="str">
        <x:v>Easy</x:v>
      </x:c>
      <x:c r="K60" s="18" t="str">
        <x:v>Medium</x:v>
      </x:c>
      <x:c r="L60" s="18" t="str">
        <x:v>Ads / EdTech</x:v>
      </x:c>
      <x:c r="M60" s="18" t="str">
        <x:v>Promising, validate SERP</x:v>
      </x:c>
    </x:row>
    <x:row r="61">
      <x:c r="A61" s="14" t="n">
        <x:v>60</x:v>
      </x:c>
      <x:c r="B61" s="18" t="str">
        <x:v>calculator osrs</x:v>
      </x:c>
      <x:c r="C61" s="18" t="str">
        <x:v>General / Other</x:v>
      </x:c>
      <x:c r="D61" s="32" t="n">
        <x:v>6600</x:v>
      </x:c>
      <x:c r="E61" s="18" t="n">
        <x:v>24</x:v>
      </x:c>
      <x:c r="F61" s="34" t="n">
        <x:v>0</x:v>
      </x:c>
      <x:c r="G61" s="18" t="str">
        <x:v>Maybe</x:v>
      </x:c>
      <x:c r="H61" s="18" t="str">
        <x:v>Osrs calculator</x:v>
      </x:c>
      <x:c r="I61" s="18" t="n">
        <x:v>1</x:v>
      </x:c>
      <x:c r="J61" s="18" t="str">
        <x:v>Easy</x:v>
      </x:c>
      <x:c r="K61" s="18" t="str">
        <x:v>Medium</x:v>
      </x:c>
      <x:c r="L61" s="18" t="str">
        <x:v>Ads</x:v>
      </x:c>
      <x:c r="M61" s="18" t="str">
        <x:v>Promising, validate SERP</x:v>
      </x:c>
    </x:row>
    <x:row r="62">
      <x:c r="A62" s="14" t="n">
        <x:v>61</x:v>
      </x:c>
      <x:c r="B62" s="18" t="str">
        <x:v>calculator in spanish</x:v>
      </x:c>
      <x:c r="C62" s="18" t="str">
        <x:v>General / Other</x:v>
      </x:c>
      <x:c r="D62" s="32" t="n">
        <x:v>4400</x:v>
      </x:c>
      <x:c r="E62" s="18" t="n">
        <x:v>24</x:v>
      </x:c>
      <x:c r="F62" s="34" t="n">
        <x:v>6.15</x:v>
      </x:c>
      <x:c r="G62" s="18" t="str">
        <x:v>Maybe</x:v>
      </x:c>
      <x:c r="H62" s="18" t="str">
        <x:v>In Spanish calculator</x:v>
      </x:c>
      <x:c r="I62" s="18" t="n">
        <x:v>1</x:v>
      </x:c>
      <x:c r="J62" s="18" t="str">
        <x:v>Easy</x:v>
      </x:c>
      <x:c r="K62" s="18" t="str">
        <x:v>Medium</x:v>
      </x:c>
      <x:c r="L62" s="18" t="str">
        <x:v>Ads</x:v>
      </x:c>
      <x:c r="M62" s="18" t="str">
        <x:v>Promising, validate SERP</x:v>
      </x:c>
    </x:row>
    <x:row r="63">
      <x:c r="A63" s="14" t="n">
        <x:v>62</x:v>
      </x:c>
      <x:c r="B63" s="18" t="str">
        <x:v>calculator holder for classroom</x:v>
      </x:c>
      <x:c r="C63" s="18" t="str">
        <x:v>General / Other</x:v>
      </x:c>
      <x:c r="D63" s="32" t="n">
        <x:v>170</x:v>
      </x:c>
      <x:c r="E63" s="18" t="n">
        <x:v>24</x:v>
      </x:c>
      <x:c r="F63" s="34" t="n">
        <x:v>0.47</x:v>
      </x:c>
      <x:c r="G63" s="18" t="str">
        <x:v>Maybe</x:v>
      </x:c>
      <x:c r="H63" s="18" t="str">
        <x:v>Holder Classroom calculator</x:v>
      </x:c>
      <x:c r="I63" s="18" t="n">
        <x:v>1</x:v>
      </x:c>
      <x:c r="J63" s="18" t="str">
        <x:v>Easy</x:v>
      </x:c>
      <x:c r="K63" s="18" t="str">
        <x:v>Medium</x:v>
      </x:c>
      <x:c r="L63" s="18" t="str">
        <x:v>Ads</x:v>
      </x:c>
      <x:c r="M63" s="18" t="str">
        <x:v>Promising, validate SERP</x:v>
      </x:c>
    </x:row>
    <x:row r="64">
      <x:c r="A64" s="14" t="n">
        <x:v>63</x:v>
      </x:c>
      <x:c r="B64" s="18" t="str">
        <x:v>calculator keychain</x:v>
      </x:c>
      <x:c r="C64" s="18" t="str">
        <x:v>General / Other</x:v>
      </x:c>
      <x:c r="D64" s="32" t="n">
        <x:v>170</x:v>
      </x:c>
      <x:c r="E64" s="18" t="n">
        <x:v>24</x:v>
      </x:c>
      <x:c r="F64" s="34" t="n">
        <x:v>0.35</x:v>
      </x:c>
      <x:c r="G64" s="18" t="str">
        <x:v>Maybe</x:v>
      </x:c>
      <x:c r="H64" s="18" t="str">
        <x:v>Keychain calculator</x:v>
      </x:c>
      <x:c r="I64" s="18" t="n">
        <x:v>1</x:v>
      </x:c>
      <x:c r="J64" s="18" t="str">
        <x:v>Easy</x:v>
      </x:c>
      <x:c r="K64" s="18" t="str">
        <x:v>Medium</x:v>
      </x:c>
      <x:c r="L64" s="18" t="str">
        <x:v>Ads</x:v>
      </x:c>
      <x:c r="M64" s="18" t="str">
        <x:v>Promising, validate SERP</x:v>
      </x:c>
    </x:row>
    <x:row r="65">
      <x:c r="A65" s="14" t="n">
        <x:v>64</x:v>
      </x:c>
      <x:c r="B65" s="18" t="str">
        <x:v>calculator income</x:v>
      </x:c>
      <x:c r="C65" s="18" t="str">
        <x:v>General / Other</x:v>
      </x:c>
      <x:c r="D65" s="32" t="n">
        <x:v>22200</x:v>
      </x:c>
      <x:c r="E65" s="18" t="n">
        <x:v>25</x:v>
      </x:c>
      <x:c r="F65" s="34" t="n">
        <x:v>2.03</x:v>
      </x:c>
      <x:c r="G65" s="18" t="str">
        <x:v>Maybe</x:v>
      </x:c>
      <x:c r="H65" s="18" t="str">
        <x:v>Income calculator</x:v>
      </x:c>
      <x:c r="I65" s="18" t="n">
        <x:v>1</x:v>
      </x:c>
      <x:c r="J65" s="18" t="str">
        <x:v>Easy</x:v>
      </x:c>
      <x:c r="K65" s="18" t="str">
        <x:v>Medium</x:v>
      </x:c>
      <x:c r="L65" s="18" t="str">
        <x:v>Ads</x:v>
      </x:c>
      <x:c r="M65" s="18" t="str">
        <x:v>Promising, validate SERP</x:v>
      </x:c>
    </x:row>
    <x:row r="66">
      <x:c r="A66" s="14" t="n">
        <x:v>65</x:v>
      </x:c>
      <x:c r="B66" s="18" t="str">
        <x:v>calculator in french</x:v>
      </x:c>
      <x:c r="C66" s="18" t="str">
        <x:v>General / Other</x:v>
      </x:c>
      <x:c r="D66" s="32" t="n">
        <x:v>720</x:v>
      </x:c>
      <x:c r="E66" s="18" t="n">
        <x:v>25</x:v>
      </x:c>
      <x:c r="F66" s="34" t="n">
        <x:v>0</x:v>
      </x:c>
      <x:c r="G66" s="18" t="str">
        <x:v>Maybe</x:v>
      </x:c>
      <x:c r="H66" s="18" t="str">
        <x:v>In French calculator</x:v>
      </x:c>
      <x:c r="I66" s="18" t="n">
        <x:v>1</x:v>
      </x:c>
      <x:c r="J66" s="18" t="str">
        <x:v>Easy</x:v>
      </x:c>
      <x:c r="K66" s="18" t="str">
        <x:v>Medium</x:v>
      </x:c>
      <x:c r="L66" s="18" t="str">
        <x:v>Ads</x:v>
      </x:c>
      <x:c r="M66" s="18" t="str">
        <x:v>Promising, validate SERP</x:v>
      </x:c>
    </x:row>
    <x:row r="67">
      <x:c r="A67" s="14" t="n">
        <x:v>66</x:v>
      </x:c>
      <x:c r="B67" s="18" t="str">
        <x:v>calculator battery</x:v>
      </x:c>
      <x:c r="C67" s="18" t="str">
        <x:v>General / Other</x:v>
      </x:c>
      <x:c r="D67" s="32" t="n">
        <x:v>320</x:v>
      </x:c>
      <x:c r="E67" s="18" t="n">
        <x:v>25</x:v>
      </x:c>
      <x:c r="F67" s="34" t="n">
        <x:v>0.23</x:v>
      </x:c>
      <x:c r="G67" s="18" t="str">
        <x:v>Maybe</x:v>
      </x:c>
      <x:c r="H67" s="18" t="str">
        <x:v>Battery calculator</x:v>
      </x:c>
      <x:c r="I67" s="18" t="n">
        <x:v>1</x:v>
      </x:c>
      <x:c r="J67" s="18" t="str">
        <x:v>Easy</x:v>
      </x:c>
      <x:c r="K67" s="18" t="str">
        <x:v>Medium</x:v>
      </x:c>
      <x:c r="L67" s="18" t="str">
        <x:v>Ads</x:v>
      </x:c>
      <x:c r="M67" s="18" t="str">
        <x:v>Promising, validate SERP</x:v>
      </x:c>
    </x:row>
    <x:row r="68">
      <x:c r="A68" s="14" t="n">
        <x:v>67</x:v>
      </x:c>
      <x:c r="B68" s="18" t="str">
        <x:v>calculator 7 segment display</x:v>
      </x:c>
      <x:c r="C68" s="18" t="str">
        <x:v>General / Other</x:v>
      </x:c>
      <x:c r="D68" s="32" t="n">
        <x:v>90</x:v>
      </x:c>
      <x:c r="E68" s="18" t="n">
        <x:v>25</x:v>
      </x:c>
      <x:c r="F68" s="34" t="n">
        <x:v>0</x:v>
      </x:c>
      <x:c r="G68" s="18" t="str">
        <x:v>Maybe</x:v>
      </x:c>
      <x:c r="H68" s="18" t="str">
        <x:v>7 Segment Display calculator</x:v>
      </x:c>
      <x:c r="I68" s="18" t="n">
        <x:v>1</x:v>
      </x:c>
      <x:c r="J68" s="18" t="str">
        <x:v>Easy</x:v>
      </x:c>
      <x:c r="K68" s="18" t="str">
        <x:v>Medium</x:v>
      </x:c>
      <x:c r="L68" s="18" t="str">
        <x:v>Ads</x:v>
      </x:c>
      <x:c r="M68" s="18" t="str">
        <x:v>Promising, validate SERP</x:v>
      </x:c>
    </x:row>
    <x:row r="69">
      <x:c r="A69" s="14" t="n">
        <x:v>68</x:v>
      </x:c>
      <x:c r="B69" s="18" t="str">
        <x:v>calculator retirement savings</x:v>
      </x:c>
      <x:c r="C69" s="18" t="str">
        <x:v>Personal Finance &amp; Investing</x:v>
      </x:c>
      <x:c r="D69" s="32" t="n">
        <x:v>18100</x:v>
      </x:c>
      <x:c r="E69" s="18" t="n">
        <x:v>26</x:v>
      </x:c>
      <x:c r="F69" s="34" t="n">
        <x:v>2.47</x:v>
      </x:c>
      <x:c r="G69" s="18" t="str">
        <x:v>Yes</x:v>
      </x:c>
      <x:c r="H69" s="18" t="str">
        <x:v>Retirement Savings calculator</x:v>
      </x:c>
      <x:c r="I69" s="18" t="n">
        <x:v>1</x:v>
      </x:c>
      <x:c r="J69" s="18" t="str">
        <x:v>Complex</x:v>
      </x:c>
      <x:c r="K69" s="18" t="str">
        <x:v>High</x:v>
      </x:c>
      <x:c r="L69" s="18" t="str">
        <x:v>Ads / Leads / Affiliate</x:v>
      </x:c>
      <x:c r="M69" s="18" t="str">
        <x:v>Strong candidate</x:v>
      </x:c>
    </x:row>
    <x:row r="70">
      <x:c r="A70" s="14" t="n">
        <x:v>69</x:v>
      </x:c>
      <x:c r="B70" s="18" t="str">
        <x:v>calculator pokemon</x:v>
      </x:c>
      <x:c r="C70" s="18" t="str">
        <x:v>General / Other</x:v>
      </x:c>
      <x:c r="D70" s="32" t="n">
        <x:v>12100</x:v>
      </x:c>
      <x:c r="E70" s="18" t="n">
        <x:v>26</x:v>
      </x:c>
      <x:c r="F70" s="34" t="n">
        <x:v>0</x:v>
      </x:c>
      <x:c r="G70" s="18" t="str">
        <x:v>Maybe</x:v>
      </x:c>
      <x:c r="H70" s="18" t="str">
        <x:v>Pokemon calculator</x:v>
      </x:c>
      <x:c r="I70" s="18" t="n">
        <x:v>1</x:v>
      </x:c>
      <x:c r="J70" s="18" t="str">
        <x:v>Easy</x:v>
      </x:c>
      <x:c r="K70" s="18" t="str">
        <x:v>Medium</x:v>
      </x:c>
      <x:c r="L70" s="18" t="str">
        <x:v>Ads</x:v>
      </x:c>
      <x:c r="M70" s="18" t="str">
        <x:v>Promising, validate SERP</x:v>
      </x:c>
    </x:row>
    <x:row r="71">
      <x:c r="A71" s="14" t="n">
        <x:v>70</x:v>
      </x:c>
      <x:c r="B71" s="18" t="str">
        <x:v>calculator synonym</x:v>
      </x:c>
      <x:c r="C71" s="18" t="str">
        <x:v>General / Other</x:v>
      </x:c>
      <x:c r="D71" s="32" t="n">
        <x:v>6600</x:v>
      </x:c>
      <x:c r="E71" s="18" t="n">
        <x:v>26</x:v>
      </x:c>
      <x:c r="F71" s="34" t="n">
        <x:v>0</x:v>
      </x:c>
      <x:c r="G71" s="18" t="str">
        <x:v>Maybe</x:v>
      </x:c>
      <x:c r="H71" s="18" t="str">
        <x:v>Synonym calculator</x:v>
      </x:c>
      <x:c r="I71" s="18" t="n">
        <x:v>1</x:v>
      </x:c>
      <x:c r="J71" s="18" t="str">
        <x:v>Easy</x:v>
      </x:c>
      <x:c r="K71" s="18" t="str">
        <x:v>Medium</x:v>
      </x:c>
      <x:c r="L71" s="18" t="str">
        <x:v>Ads</x:v>
      </x:c>
      <x:c r="M71" s="18" t="str">
        <x:v>Promising, validate SERP</x:v>
      </x:c>
    </x:row>
    <x:row r="72">
      <x:c r="A72" s="14" t="n">
        <x:v>71</x:v>
      </x:c>
      <x:c r="B72" s="18" t="str">
        <x:v>calculator charger</x:v>
      </x:c>
      <x:c r="C72" s="18" t="str">
        <x:v>General / Other</x:v>
      </x:c>
      <x:c r="D72" s="32" t="n">
        <x:v>1000</x:v>
      </x:c>
      <x:c r="E72" s="18" t="n">
        <x:v>26</x:v>
      </x:c>
      <x:c r="F72" s="34" t="n">
        <x:v>0.28</x:v>
      </x:c>
      <x:c r="G72" s="18" t="str">
        <x:v>Maybe</x:v>
      </x:c>
      <x:c r="H72" s="18" t="str">
        <x:v>Charger calculator</x:v>
      </x:c>
      <x:c r="I72" s="18" t="n">
        <x:v>1</x:v>
      </x:c>
      <x:c r="J72" s="18" t="str">
        <x:v>Easy</x:v>
      </x:c>
      <x:c r="K72" s="18" t="str">
        <x:v>Medium</x:v>
      </x:c>
      <x:c r="L72" s="18" t="str">
        <x:v>Ads</x:v>
      </x:c>
      <x:c r="M72" s="18" t="str">
        <x:v>Promising, validate SERP</x:v>
      </x:c>
    </x:row>
    <x:row r="73">
      <x:c r="A73" s="14" t="n">
        <x:v>72</x:v>
      </x:c>
      <x:c r="B73" s="18" t="str">
        <x:v>calculator extension</x:v>
      </x:c>
      <x:c r="C73" s="18" t="str">
        <x:v>General / Other</x:v>
      </x:c>
      <x:c r="D73" s="32" t="n">
        <x:v>390</x:v>
      </x:c>
      <x:c r="E73" s="18" t="n">
        <x:v>26</x:v>
      </x:c>
      <x:c r="F73" s="34" t="n">
        <x:v>0</x:v>
      </x:c>
      <x:c r="G73" s="18" t="str">
        <x:v>Maybe</x:v>
      </x:c>
      <x:c r="H73" s="18" t="str">
        <x:v>Extension calculator</x:v>
      </x:c>
      <x:c r="I73" s="18" t="n">
        <x:v>1</x:v>
      </x:c>
      <x:c r="J73" s="18" t="str">
        <x:v>Easy</x:v>
      </x:c>
      <x:c r="K73" s="18" t="str">
        <x:v>Medium</x:v>
      </x:c>
      <x:c r="L73" s="18" t="str">
        <x:v>Ads</x:v>
      </x:c>
      <x:c r="M73" s="18" t="str">
        <x:v>Promising, validate SERP</x:v>
      </x:c>
    </x:row>
    <x:row r="74">
      <x:c r="A74" s="14" t="n">
        <x:v>73</x:v>
      </x:c>
      <x:c r="B74" s="18" t="str">
        <x:v>calculator gif</x:v>
      </x:c>
      <x:c r="C74" s="18" t="str">
        <x:v>General / Other</x:v>
      </x:c>
      <x:c r="D74" s="32" t="n">
        <x:v>390</x:v>
      </x:c>
      <x:c r="E74" s="18" t="n">
        <x:v>26</x:v>
      </x:c>
      <x:c r="F74" s="34" t="n">
        <x:v>0</x:v>
      </x:c>
      <x:c r="G74" s="18" t="str">
        <x:v>Maybe</x:v>
      </x:c>
      <x:c r="H74" s="18" t="str">
        <x:v>Gif calculator</x:v>
      </x:c>
      <x:c r="I74" s="18" t="n">
        <x:v>1</x:v>
      </x:c>
      <x:c r="J74" s="18" t="str">
        <x:v>Easy</x:v>
      </x:c>
      <x:c r="K74" s="18" t="str">
        <x:v>Medium</x:v>
      </x:c>
      <x:c r="L74" s="18" t="str">
        <x:v>Ads</x:v>
      </x:c>
      <x:c r="M74" s="18" t="str">
        <x:v>Promising, validate SERP</x:v>
      </x:c>
    </x:row>
    <x:row r="75">
      <x:c r="A75" s="14" t="n">
        <x:v>74</x:v>
      </x:c>
      <x:c r="B75" s="18" t="str">
        <x:v>calculator uno</x:v>
      </x:c>
      <x:c r="C75" s="18" t="str">
        <x:v>General / Other</x:v>
      </x:c>
      <x:c r="D75" s="32" t="n">
        <x:v>390</x:v>
      </x:c>
      <x:c r="E75" s="18" t="n">
        <x:v>26</x:v>
      </x:c>
      <x:c r="F75" s="34" t="n">
        <x:v>0</x:v>
      </x:c>
      <x:c r="G75" s="18" t="str">
        <x:v>Maybe</x:v>
      </x:c>
      <x:c r="H75" s="18" t="str">
        <x:v>Uno calculator</x:v>
      </x:c>
      <x:c r="I75" s="18" t="n">
        <x:v>1</x:v>
      </x:c>
      <x:c r="J75" s="18" t="str">
        <x:v>Easy</x:v>
      </x:c>
      <x:c r="K75" s="18" t="str">
        <x:v>Medium</x:v>
      </x:c>
      <x:c r="L75" s="18" t="str">
        <x:v>Ads</x:v>
      </x:c>
      <x:c r="M75" s="18" t="str">
        <x:v>Promising, validate SERP</x:v>
      </x:c>
    </x:row>
    <x:row r="76">
      <x:c r="A76" s="14" t="n">
        <x:v>75</x:v>
      </x:c>
      <x:c r="B76" s="18" t="str">
        <x:v>0x3 calculator</x:v>
      </x:c>
      <x:c r="C76" s="18" t="str">
        <x:v>General / Other</x:v>
      </x:c>
      <x:c r="D76" s="32" t="n">
        <x:v>110</x:v>
      </x:c>
      <x:c r="E76" s="18" t="n">
        <x:v>26</x:v>
      </x:c>
      <x:c r="F76" s="34" t="n">
        <x:v>0</x:v>
      </x:c>
      <x:c r="G76" s="18" t="str">
        <x:v>Maybe</x:v>
      </x:c>
      <x:c r="H76" s="18" t="str">
        <x:v>0X3 calculator</x:v>
      </x:c>
      <x:c r="I76" s="18" t="n">
        <x:v>1</x:v>
      </x:c>
      <x:c r="J76" s="18" t="str">
        <x:v>Easy</x:v>
      </x:c>
      <x:c r="K76" s="18" t="str">
        <x:v>Medium</x:v>
      </x:c>
      <x:c r="L76" s="18" t="str">
        <x:v>Ads</x:v>
      </x:c>
      <x:c r="M76" s="18" t="str">
        <x:v>Promising, validate SERP</x:v>
      </x:c>
    </x:row>
    <x:row r="77">
      <x:c r="A77" s="14" t="n">
        <x:v>76</x:v>
      </x:c>
      <x:c r="B77" s="18" t="str">
        <x:v>calculator roguelike</x:v>
      </x:c>
      <x:c r="C77" s="18" t="str">
        <x:v>General / Other</x:v>
      </x:c>
      <x:c r="D77" s="32" t="n">
        <x:v>70</x:v>
      </x:c>
      <x:c r="E77" s="18" t="n">
        <x:v>26</x:v>
      </x:c>
      <x:c r="F77" s="34" t="n">
        <x:v>0</x:v>
      </x:c>
      <x:c r="G77" s="18" t="str">
        <x:v>Maybe</x:v>
      </x:c>
      <x:c r="H77" s="18" t="str">
        <x:v>Roguelike calculator</x:v>
      </x:c>
      <x:c r="I77" s="18" t="n">
        <x:v>1</x:v>
      </x:c>
      <x:c r="J77" s="18" t="str">
        <x:v>Easy</x:v>
      </x:c>
      <x:c r="K77" s="18" t="str">
        <x:v>Medium</x:v>
      </x:c>
      <x:c r="L77" s="18" t="str">
        <x:v>Ads</x:v>
      </x:c>
      <x:c r="M77" s="18" t="str">
        <x:v>Promising, validate SERP</x:v>
      </x:c>
    </x:row>
    <x:row r="78">
      <x:c r="A78" s="14" t="n">
        <x:v>77</x:v>
      </x:c>
      <x:c r="B78" s="18" t="str">
        <x:v>calculator loan interest</x:v>
      </x:c>
      <x:c r="C78" s="18" t="str">
        <x:v>Loans &amp; Auto Finance</x:v>
      </x:c>
      <x:c r="D78" s="32" t="n">
        <x:v>27100</x:v>
      </x:c>
      <x:c r="E78" s="18" t="n">
        <x:v>27</x:v>
      </x:c>
      <x:c r="F78" s="34" t="n">
        <x:v>2.34</x:v>
      </x:c>
      <x:c r="G78" s="18" t="str">
        <x:v>Yes</x:v>
      </x:c>
      <x:c r="H78" s="18" t="str">
        <x:v>Loan Interest calculator</x:v>
      </x:c>
      <x:c r="I78" s="18" t="n">
        <x:v>1</x:v>
      </x:c>
      <x:c r="J78" s="18" t="str">
        <x:v>Medium</x:v>
      </x:c>
      <x:c r="K78" s="18" t="str">
        <x:v>High</x:v>
      </x:c>
      <x:c r="L78" s="18" t="str">
        <x:v>Leads / Ads / Affiliate</x:v>
      </x:c>
      <x:c r="M78" s="18" t="str">
        <x:v>Strong candidate</x:v>
      </x:c>
    </x:row>
    <x:row r="79">
      <x:c r="A79" s="14" t="n">
        <x:v>78</x:v>
      </x:c>
      <x:c r="B79" s="18" t="str">
        <x:v>calculator jokes</x:v>
      </x:c>
      <x:c r="C79" s="18" t="str">
        <x:v>General / Other</x:v>
      </x:c>
      <x:c r="D79" s="32" t="n">
        <x:v>260</x:v>
      </x:c>
      <x:c r="E79" s="18" t="n">
        <x:v>27</x:v>
      </x:c>
      <x:c r="F79" s="34" t="n">
        <x:v>0.33</x:v>
      </x:c>
      <x:c r="G79" s="18" t="str">
        <x:v>Maybe</x:v>
      </x:c>
      <x:c r="H79" s="18" t="str">
        <x:v>Jokes calculator</x:v>
      </x:c>
      <x:c r="I79" s="18" t="n">
        <x:v>1</x:v>
      </x:c>
      <x:c r="J79" s="18" t="str">
        <x:v>Easy</x:v>
      </x:c>
      <x:c r="K79" s="18" t="str">
        <x:v>Medium</x:v>
      </x:c>
      <x:c r="L79" s="18" t="str">
        <x:v>Ads</x:v>
      </x:c>
      <x:c r="M79" s="18" t="str">
        <x:v>Promising, validate SERP</x:v>
      </x:c>
    </x:row>
    <x:row r="80">
      <x:c r="A80" s="14" t="n">
        <x:v>79</x:v>
      </x:c>
      <x:c r="B80" s="18" t="str">
        <x:v>calculator launcher</x:v>
      </x:c>
      <x:c r="C80" s="18" t="str">
        <x:v>General / Other</x:v>
      </x:c>
      <x:c r="D80" s="32" t="n">
        <x:v>110</x:v>
      </x:c>
      <x:c r="E80" s="18" t="n">
        <x:v>27</x:v>
      </x:c>
      <x:c r="F80" s="34" t="n">
        <x:v>0.88</x:v>
      </x:c>
      <x:c r="G80" s="18" t="str">
        <x:v>Maybe</x:v>
      </x:c>
      <x:c r="H80" s="18" t="str">
        <x:v>Launcher calculator</x:v>
      </x:c>
      <x:c r="I80" s="18" t="n">
        <x:v>1</x:v>
      </x:c>
      <x:c r="J80" s="18" t="str">
        <x:v>Easy</x:v>
      </x:c>
      <x:c r="K80" s="18" t="str">
        <x:v>Medium</x:v>
      </x:c>
      <x:c r="L80" s="18" t="str">
        <x:v>Ads</x:v>
      </x:c>
      <x:c r="M80" s="18" t="str">
        <x:v>Promising, validate SERP</x:v>
      </x:c>
    </x:row>
    <x:row r="81">
      <x:c r="A81" s="14" t="n">
        <x:v>80</x:v>
      </x:c>
      <x:c r="B81" s="18" t="str">
        <x:v>calculator 30xiis</x:v>
      </x:c>
      <x:c r="C81" s="18" t="str">
        <x:v>General / Other</x:v>
      </x:c>
      <x:c r="D81" s="32" t="n">
        <x:v>70</x:v>
      </x:c>
      <x:c r="E81" s="18" t="n">
        <x:v>27</x:v>
      </x:c>
      <x:c r="F81" s="34" t="n">
        <x:v>0.03</x:v>
      </x:c>
      <x:c r="G81" s="18" t="str">
        <x:v>Maybe</x:v>
      </x:c>
      <x:c r="H81" s="18" t="str">
        <x:v>30Xiis calculator</x:v>
      </x:c>
      <x:c r="I81" s="18" t="n">
        <x:v>1</x:v>
      </x:c>
      <x:c r="J81" s="18" t="str">
        <x:v>Easy</x:v>
      </x:c>
      <x:c r="K81" s="18" t="str">
        <x:v>Medium</x:v>
      </x:c>
      <x:c r="L81" s="18" t="str">
        <x:v>Ads</x:v>
      </x:c>
      <x:c r="M81" s="18" t="str">
        <x:v>Promising, validate SERP</x:v>
      </x:c>
    </x:row>
    <x:row r="82">
      <x:c r="A82" s="14" t="n">
        <x:v>81</x:v>
      </x:c>
      <x:c r="B82" s="18" t="str">
        <x:v>calculator elden ring</x:v>
      </x:c>
      <x:c r="C82" s="18" t="str">
        <x:v>General / Other</x:v>
      </x:c>
      <x:c r="D82" s="32" t="n">
        <x:v>30</x:v>
      </x:c>
      <x:c r="E82" s="18" t="n">
        <x:v>27</x:v>
      </x:c>
      <x:c r="F82" s="34" t="n">
        <x:v>0</x:v>
      </x:c>
      <x:c r="G82" s="18" t="str">
        <x:v>Maybe</x:v>
      </x:c>
      <x:c r="H82" s="18" t="str">
        <x:v>Elden Ring calculator</x:v>
      </x:c>
      <x:c r="I82" s="18" t="n">
        <x:v>1</x:v>
      </x:c>
      <x:c r="J82" s="18" t="str">
        <x:v>Easy</x:v>
      </x:c>
      <x:c r="K82" s="18" t="str">
        <x:v>Medium</x:v>
      </x:c>
      <x:c r="L82" s="18" t="str">
        <x:v>Ads</x:v>
      </x:c>
      <x:c r="M82" s="18" t="str">
        <x:v>Promising, validate SERP</x:v>
      </x:c>
    </x:row>
    <x:row r="83">
      <x:c r="A83" s="14" t="n">
        <x:v>82</x:v>
      </x:c>
      <x:c r="B83" s="18" t="str">
        <x:v>calculator for cd interest</x:v>
      </x:c>
      <x:c r="C83" s="18" t="str">
        <x:v>General / Other</x:v>
      </x:c>
      <x:c r="D83" s="32" t="n">
        <x:v>33100</x:v>
      </x:c>
      <x:c r="E83" s="18" t="n">
        <x:v>28</x:v>
      </x:c>
      <x:c r="F83" s="34" t="n">
        <x:v>3.98</x:v>
      </x:c>
      <x:c r="G83" s="18" t="str">
        <x:v>Yes</x:v>
      </x:c>
      <x:c r="H83" s="18" t="str">
        <x:v>Cd Interest calculator</x:v>
      </x:c>
      <x:c r="I83" s="18" t="n">
        <x:v>1</x:v>
      </x:c>
      <x:c r="J83" s="18" t="str">
        <x:v>Easy</x:v>
      </x:c>
      <x:c r="K83" s="18" t="str">
        <x:v>Medium</x:v>
      </x:c>
      <x:c r="L83" s="18" t="str">
        <x:v>Ads</x:v>
      </x:c>
      <x:c r="M83" s="18" t="str">
        <x:v>Strong candidate</x:v>
      </x:c>
    </x:row>
    <x:row r="84">
      <x:c r="A84" s="14" t="n">
        <x:v>83</x:v>
      </x:c>
      <x:c r="B84" s="18" t="str">
        <x:v>calculator va</x:v>
      </x:c>
      <x:c r="C84" s="18" t="str">
        <x:v>General / Other</x:v>
      </x:c>
      <x:c r="D84" s="32" t="n">
        <x:v>27100</x:v>
      </x:c>
      <x:c r="E84" s="18" t="n">
        <x:v>28</x:v>
      </x:c>
      <x:c r="F84" s="34" t="n">
        <x:v>2.01</x:v>
      </x:c>
      <x:c r="G84" s="18" t="str">
        <x:v>Maybe</x:v>
      </x:c>
      <x:c r="H84" s="18" t="str">
        <x:v>Va calculator</x:v>
      </x:c>
      <x:c r="I84" s="18" t="n">
        <x:v>1</x:v>
      </x:c>
      <x:c r="J84" s="18" t="str">
        <x:v>Easy</x:v>
      </x:c>
      <x:c r="K84" s="18" t="str">
        <x:v>Medium</x:v>
      </x:c>
      <x:c r="L84" s="18" t="str">
        <x:v>Ads</x:v>
      </x:c>
      <x:c r="M84" s="18" t="str">
        <x:v>Promising, validate SERP</x:v>
      </x:c>
    </x:row>
    <x:row r="85">
      <x:c r="A85" s="14" t="n">
        <x:v>84</x:v>
      </x:c>
      <x:c r="B85" s="18" t="str">
        <x:v>calculator 4 function</x:v>
      </x:c>
      <x:c r="C85" s="18" t="str">
        <x:v>General / Other</x:v>
      </x:c>
      <x:c r="D85" s="32" t="n">
        <x:v>14800</x:v>
      </x:c>
      <x:c r="E85" s="18" t="n">
        <x:v>28</x:v>
      </x:c>
      <x:c r="F85" s="34" t="n">
        <x:v>0.4</x:v>
      </x:c>
      <x:c r="G85" s="18" t="str">
        <x:v>Maybe</x:v>
      </x:c>
      <x:c r="H85" s="18" t="str">
        <x:v>4 Function calculator</x:v>
      </x:c>
      <x:c r="I85" s="18" t="n">
        <x:v>1</x:v>
      </x:c>
      <x:c r="J85" s="18" t="str">
        <x:v>Easy</x:v>
      </x:c>
      <x:c r="K85" s="18" t="str">
        <x:v>Medium</x:v>
      </x:c>
      <x:c r="L85" s="18" t="str">
        <x:v>Ads</x:v>
      </x:c>
      <x:c r="M85" s="18" t="str">
        <x:v>Promising, validate SERP</x:v>
      </x:c>
    </x:row>
    <x:row r="86">
      <x:c r="A86" s="14" t="n">
        <x:v>85</x:v>
      </x:c>
      <x:c r="B86" s="18" t="str">
        <x:v>calculator vehicle loan</x:v>
      </x:c>
      <x:c r="C86" s="18" t="str">
        <x:v>General / Other</x:v>
      </x:c>
      <x:c r="D86" s="32" t="n">
        <x:v>14800</x:v>
      </x:c>
      <x:c r="E86" s="18" t="n">
        <x:v>28</x:v>
      </x:c>
      <x:c r="F86" s="34" t="n">
        <x:v>0.54</x:v>
      </x:c>
      <x:c r="G86" s="18" t="str">
        <x:v>Yes</x:v>
      </x:c>
      <x:c r="H86" s="18" t="str">
        <x:v>Vehicle Loan calculator</x:v>
      </x:c>
      <x:c r="I86" s="18" t="n">
        <x:v>1</x:v>
      </x:c>
      <x:c r="J86" s="18" t="str">
        <x:v>Medium</x:v>
      </x:c>
      <x:c r="K86" s="18" t="str">
        <x:v>Medium</x:v>
      </x:c>
      <x:c r="L86" s="18" t="str">
        <x:v>Ads</x:v>
      </x:c>
      <x:c r="M86" s="18" t="str">
        <x:v>Strong candidate</x:v>
      </x:c>
    </x:row>
    <x:row r="87">
      <x:c r="A87" s="14" t="n">
        <x:v>86</x:v>
      </x:c>
      <x:c r="B87" s="18" t="str">
        <x:v>calculator image</x:v>
      </x:c>
      <x:c r="C87" s="18" t="str">
        <x:v>Date &amp; Time</x:v>
      </x:c>
      <x:c r="D87" s="32" t="n">
        <x:v>1900</x:v>
      </x:c>
      <x:c r="E87" s="18" t="n">
        <x:v>28</x:v>
      </x:c>
      <x:c r="F87" s="34" t="n">
        <x:v>0.26</x:v>
      </x:c>
      <x:c r="G87" s="18" t="str">
        <x:v>Yes</x:v>
      </x:c>
      <x:c r="H87" s="18" t="str">
        <x:v>Image calculator</x:v>
      </x:c>
      <x:c r="I87" s="18" t="n">
        <x:v>1</x:v>
      </x:c>
      <x:c r="J87" s="18" t="str">
        <x:v>Easy</x:v>
      </x:c>
      <x:c r="K87" s="18" t="str">
        <x:v>Medium</x:v>
      </x:c>
      <x:c r="L87" s="18" t="str">
        <x:v>Ads</x:v>
      </x:c>
      <x:c r="M87" s="18" t="str">
        <x:v>Strong candidate</x:v>
      </x:c>
    </x:row>
    <x:row r="88">
      <x:c r="A88" s="14" t="n">
        <x:v>87</x:v>
      </x:c>
      <x:c r="B88" s="18" t="str">
        <x:v>calculator picture</x:v>
      </x:c>
      <x:c r="C88" s="18" t="str">
        <x:v>General / Other</x:v>
      </x:c>
      <x:c r="D88" s="32" t="n">
        <x:v>1600</x:v>
      </x:c>
      <x:c r="E88" s="18" t="n">
        <x:v>28</x:v>
      </x:c>
      <x:c r="F88" s="34" t="n">
        <x:v>1.5</x:v>
      </x:c>
      <x:c r="G88" s="18" t="str">
        <x:v>Maybe</x:v>
      </x:c>
      <x:c r="H88" s="18" t="str">
        <x:v>Picture calculator</x:v>
      </x:c>
      <x:c r="I88" s="18" t="n">
        <x:v>1</x:v>
      </x:c>
      <x:c r="J88" s="18" t="str">
        <x:v>Easy</x:v>
      </x:c>
      <x:c r="K88" s="18" t="str">
        <x:v>Medium</x:v>
      </x:c>
      <x:c r="L88" s="18" t="str">
        <x:v>Ads</x:v>
      </x:c>
      <x:c r="M88" s="18" t="str">
        <x:v>Promising, validate SERP</x:v>
      </x:c>
    </x:row>
    <x:row r="89">
      <x:c r="A89" s="14" t="n">
        <x:v>88</x:v>
      </x:c>
      <x:c r="B89" s="18" t="str">
        <x:v>calculator expensive</x:v>
      </x:c>
      <x:c r="C89" s="18" t="str">
        <x:v>General / Other</x:v>
      </x:c>
      <x:c r="D89" s="32" t="n">
        <x:v>720</x:v>
      </x:c>
      <x:c r="E89" s="18" t="n">
        <x:v>28</x:v>
      </x:c>
      <x:c r="F89" s="34" t="n">
        <x:v>0.24</x:v>
      </x:c>
      <x:c r="G89" s="18" t="str">
        <x:v>Maybe</x:v>
      </x:c>
      <x:c r="H89" s="18" t="str">
        <x:v>Expensive calculator</x:v>
      </x:c>
      <x:c r="I89" s="18" t="n">
        <x:v>1</x:v>
      </x:c>
      <x:c r="J89" s="18" t="str">
        <x:v>Easy</x:v>
      </x:c>
      <x:c r="K89" s="18" t="str">
        <x:v>Medium</x:v>
      </x:c>
      <x:c r="L89" s="18" t="str">
        <x:v>Ads</x:v>
      </x:c>
      <x:c r="M89" s="18" t="str">
        <x:v>Promising, validate SERP</x:v>
      </x:c>
    </x:row>
    <x:row r="90">
      <x:c r="A90" s="14" t="n">
        <x:v>89</x:v>
      </x:c>
      <x:c r="B90" s="18" t="str">
        <x:v>calculator yugioh</x:v>
      </x:c>
      <x:c r="C90" s="18" t="str">
        <x:v>General / Other</x:v>
      </x:c>
      <x:c r="D90" s="32" t="n">
        <x:v>720</x:v>
      </x:c>
      <x:c r="E90" s="18" t="n">
        <x:v>28</x:v>
      </x:c>
      <x:c r="F90" s="34" t="n">
        <x:v>3.79</x:v>
      </x:c>
      <x:c r="G90" s="18" t="str">
        <x:v>Maybe</x:v>
      </x:c>
      <x:c r="H90" s="18" t="str">
        <x:v>Yugioh calculator</x:v>
      </x:c>
      <x:c r="I90" s="18" t="n">
        <x:v>1</x:v>
      </x:c>
      <x:c r="J90" s="18" t="str">
        <x:v>Easy</x:v>
      </x:c>
      <x:c r="K90" s="18" t="str">
        <x:v>Medium</x:v>
      </x:c>
      <x:c r="L90" s="18" t="str">
        <x:v>Ads</x:v>
      </x:c>
      <x:c r="M90" s="18" t="str">
        <x:v>Promising, validate SERP</x:v>
      </x:c>
    </x:row>
    <x:row r="91">
      <x:c r="A91" s="14" t="n">
        <x:v>90</x:v>
      </x:c>
      <x:c r="B91" s="18" t="str">
        <x:v>calculator background</x:v>
      </x:c>
      <x:c r="C91" s="18" t="str">
        <x:v>General / Other</x:v>
      </x:c>
      <x:c r="D91" s="32" t="n">
        <x:v>170</x:v>
      </x:c>
      <x:c r="E91" s="18" t="n">
        <x:v>28</x:v>
      </x:c>
      <x:c r="F91" s="34" t="n">
        <x:v>0</x:v>
      </x:c>
      <x:c r="G91" s="18" t="str">
        <x:v>Maybe</x:v>
      </x:c>
      <x:c r="H91" s="18" t="str">
        <x:v>Background calculator</x:v>
      </x:c>
      <x:c r="I91" s="18" t="n">
        <x:v>1</x:v>
      </x:c>
      <x:c r="J91" s="18" t="str">
        <x:v>Easy</x:v>
      </x:c>
      <x:c r="K91" s="18" t="str">
        <x:v>Medium</x:v>
      </x:c>
      <x:c r="L91" s="18" t="str">
        <x:v>Ads</x:v>
      </x:c>
      <x:c r="M91" s="18" t="str">
        <x:v>Promising, validate SERP</x:v>
      </x:c>
    </x:row>
    <x:row r="92">
      <x:c r="A92" s="14" t="n">
        <x:v>91</x:v>
      </x:c>
      <x:c r="B92" s="18" t="str">
        <x:v>calculator keypad</x:v>
      </x:c>
      <x:c r="C92" s="18" t="str">
        <x:v>General / Other</x:v>
      </x:c>
      <x:c r="D92" s="32" t="n">
        <x:v>90</x:v>
      </x:c>
      <x:c r="E92" s="18" t="n">
        <x:v>28</x:v>
      </x:c>
      <x:c r="F92" s="34" t="n">
        <x:v>0.45</x:v>
      </x:c>
      <x:c r="G92" s="18" t="str">
        <x:v>Maybe</x:v>
      </x:c>
      <x:c r="H92" s="18" t="str">
        <x:v>Keypad calculator</x:v>
      </x:c>
      <x:c r="I92" s="18" t="n">
        <x:v>1</x:v>
      </x:c>
      <x:c r="J92" s="18" t="str">
        <x:v>Easy</x:v>
      </x:c>
      <x:c r="K92" s="18" t="str">
        <x:v>Medium</x:v>
      </x:c>
      <x:c r="L92" s="18" t="str">
        <x:v>Ads</x:v>
      </x:c>
      <x:c r="M92" s="18" t="str">
        <x:v>Promising, validate SERP</x:v>
      </x:c>
    </x:row>
    <x:row r="93">
      <x:c r="A93" s="14" t="n">
        <x:v>92</x:v>
      </x:c>
      <x:c r="B93" s="18" t="str">
        <x:v>calculator with camera and ai</x:v>
      </x:c>
      <x:c r="C93" s="18" t="str">
        <x:v>General / Other</x:v>
      </x:c>
      <x:c r="D93" s="32" t="n">
        <x:v>90</x:v>
      </x:c>
      <x:c r="E93" s="18" t="n">
        <x:v>28</x:v>
      </x:c>
      <x:c r="F93" s="34" t="n">
        <x:v>0.26</x:v>
      </x:c>
      <x:c r="G93" s="18" t="str">
        <x:v>Maybe</x:v>
      </x:c>
      <x:c r="H93" s="18" t="str">
        <x:v>With Camera And Ai calculator</x:v>
      </x:c>
      <x:c r="I93" s="18" t="n">
        <x:v>1</x:v>
      </x:c>
      <x:c r="J93" s="18" t="str">
        <x:v>Easy</x:v>
      </x:c>
      <x:c r="K93" s="18" t="str">
        <x:v>Medium</x:v>
      </x:c>
      <x:c r="L93" s="18" t="str">
        <x:v>Ads</x:v>
      </x:c>
      <x:c r="M93" s="18" t="str">
        <x:v>Promising, validate SERP</x:v>
      </x:c>
    </x:row>
    <x:row r="94">
      <x:c r="A94" s="14" t="n">
        <x:v>93</x:v>
      </x:c>
      <x:c r="B94" s="18" t="str">
        <x:v>calculator jellycat</x:v>
      </x:c>
      <x:c r="C94" s="18" t="str">
        <x:v>General / Other</x:v>
      </x:c>
      <x:c r="D94" s="32" t="n">
        <x:v>40</x:v>
      </x:c>
      <x:c r="E94" s="18" t="n">
        <x:v>28</x:v>
      </x:c>
      <x:c r="F94" s="34" t="n">
        <x:v>0</x:v>
      </x:c>
      <x:c r="G94" s="18" t="str">
        <x:v>Maybe</x:v>
      </x:c>
      <x:c r="H94" s="18" t="str">
        <x:v>Jellycat calculator</x:v>
      </x:c>
      <x:c r="I94" s="18" t="n">
        <x:v>1</x:v>
      </x:c>
      <x:c r="J94" s="18" t="str">
        <x:v>Easy</x:v>
      </x:c>
      <x:c r="K94" s="18" t="str">
        <x:v>Medium</x:v>
      </x:c>
      <x:c r="L94" s="18" t="str">
        <x:v>Ads</x:v>
      </x:c>
      <x:c r="M94" s="18" t="str">
        <x:v>Promising, validate SERP</x:v>
      </x:c>
    </x:row>
    <x:row r="95">
      <x:c r="A95" s="14" t="n">
        <x:v>94</x:v>
      </x:c>
      <x:c r="B95" s="18" t="str">
        <x:v>calculator with chatgpt</x:v>
      </x:c>
      <x:c r="C95" s="18" t="str">
        <x:v>General / Other</x:v>
      </x:c>
      <x:c r="D95" s="32" t="n">
        <x:v>480</x:v>
      </x:c>
      <x:c r="E95" s="18" t="n">
        <x:v>29</x:v>
      </x:c>
      <x:c r="F95" s="34" t="n">
        <x:v>0.37</x:v>
      </x:c>
      <x:c r="G95" s="18" t="str">
        <x:v>Maybe</x:v>
      </x:c>
      <x:c r="H95" s="18" t="str">
        <x:v>With Chatgpt calculator</x:v>
      </x:c>
      <x:c r="I95" s="18" t="n">
        <x:v>1</x:v>
      </x:c>
      <x:c r="J95" s="18" t="str">
        <x:v>Easy</x:v>
      </x:c>
      <x:c r="K95" s="18" t="str">
        <x:v>Medium</x:v>
      </x:c>
      <x:c r="L95" s="18" t="str">
        <x:v>Ads</x:v>
      </x:c>
      <x:c r="M95" s="18" t="str">
        <x:v>Promising, validate SERP</x:v>
      </x:c>
    </x:row>
    <x:row r="96">
      <x:c r="A96" s="14" t="n">
        <x:v>95</x:v>
      </x:c>
      <x:c r="B96" s="18" t="str">
        <x:v>calculator km to miles</x:v>
      </x:c>
      <x:c r="C96" s="18" t="str">
        <x:v>General / Other</x:v>
      </x:c>
      <x:c r="D96" s="32" t="n">
        <x:v>260</x:v>
      </x:c>
      <x:c r="E96" s="18" t="n">
        <x:v>29</x:v>
      </x:c>
      <x:c r="F96" s="34" t="n">
        <x:v>1.98</x:v>
      </x:c>
      <x:c r="G96" s="18" t="str">
        <x:v>Maybe</x:v>
      </x:c>
      <x:c r="H96" s="18" t="str">
        <x:v>Km To Miles calculator</x:v>
      </x:c>
      <x:c r="I96" s="18" t="n">
        <x:v>1</x:v>
      </x:c>
      <x:c r="J96" s="18" t="str">
        <x:v>Easy</x:v>
      </x:c>
      <x:c r="K96" s="18" t="str">
        <x:v>Medium</x:v>
      </x:c>
      <x:c r="L96" s="18" t="str">
        <x:v>Ads</x:v>
      </x:c>
      <x:c r="M96" s="18" t="str">
        <x:v>Promising, validate SERP</x:v>
      </x:c>
    </x:row>
    <x:row r="97">
      <x:c r="A97" s="14" t="n">
        <x:v>96</x:v>
      </x:c>
      <x:c r="B97" s="18" t="str">
        <x:v>calculator 4d</x:v>
      </x:c>
      <x:c r="C97" s="18" t="str">
        <x:v>General / Other</x:v>
      </x:c>
      <x:c r="D97" s="32" t="n">
        <x:v>110</x:v>
      </x:c>
      <x:c r="E97" s="18" t="n">
        <x:v>29</x:v>
      </x:c>
      <x:c r="F97" s="34" t="n">
        <x:v>0</x:v>
      </x:c>
      <x:c r="G97" s="18" t="str">
        <x:v>Maybe</x:v>
      </x:c>
      <x:c r="H97" s="18" t="str">
        <x:v>4D calculator</x:v>
      </x:c>
      <x:c r="I97" s="18" t="n">
        <x:v>1</x:v>
      </x:c>
      <x:c r="J97" s="18" t="str">
        <x:v>Easy</x:v>
      </x:c>
      <x:c r="K97" s="18" t="str">
        <x:v>Medium</x:v>
      </x:c>
      <x:c r="L97" s="18" t="str">
        <x:v>Ads</x:v>
      </x:c>
      <x:c r="M97" s="18" t="str">
        <x:v>Promising, validate SERP</x:v>
      </x:c>
    </x:row>
    <x:row r="98">
      <x:c r="A98" s="14" t="n">
        <x:v>97</x:v>
      </x:c>
      <x:c r="B98" s="18" t="str">
        <x:v>calculator video</x:v>
      </x:c>
      <x:c r="C98" s="18" t="str">
        <x:v>General / Other</x:v>
      </x:c>
      <x:c r="D98" s="32" t="n">
        <x:v>110</x:v>
      </x:c>
      <x:c r="E98" s="18" t="n">
        <x:v>29</x:v>
      </x:c>
      <x:c r="F98" s="34" t="n">
        <x:v>0</x:v>
      </x:c>
      <x:c r="G98" s="18" t="str">
        <x:v>Maybe</x:v>
      </x:c>
      <x:c r="H98" s="18" t="str">
        <x:v>Video calculator</x:v>
      </x:c>
      <x:c r="I98" s="18" t="n">
        <x:v>1</x:v>
      </x:c>
      <x:c r="J98" s="18" t="str">
        <x:v>Easy</x:v>
      </x:c>
      <x:c r="K98" s="18" t="str">
        <x:v>Medium</x:v>
      </x:c>
      <x:c r="L98" s="18" t="str">
        <x:v>Ads</x:v>
      </x:c>
      <x:c r="M98" s="18" t="str">
        <x:v>Promising, validate SERP</x:v>
      </x:c>
    </x:row>
    <x:row r="99">
      <x:c r="A99" s="14" t="n">
        <x:v>98</x:v>
      </x:c>
      <x:c r="B99" s="18" t="str">
        <x:v>0x1 calculator</x:v>
      </x:c>
      <x:c r="C99" s="18" t="str">
        <x:v>General / Other</x:v>
      </x:c>
      <x:c r="D99" s="32" t="n">
        <x:v>90</x:v>
      </x:c>
      <x:c r="E99" s="18" t="n">
        <x:v>29</x:v>
      </x:c>
      <x:c r="F99" s="34" t="n">
        <x:v>0</x:v>
      </x:c>
      <x:c r="G99" s="18" t="str">
        <x:v>Maybe</x:v>
      </x:c>
      <x:c r="H99" s="18" t="str">
        <x:v>0X1 calculator</x:v>
      </x:c>
      <x:c r="I99" s="18" t="n">
        <x:v>1</x:v>
      </x:c>
      <x:c r="J99" s="18" t="str">
        <x:v>Easy</x:v>
      </x:c>
      <x:c r="K99" s="18" t="str">
        <x:v>Medium</x:v>
      </x:c>
      <x:c r="L99" s="18" t="str">
        <x:v>Ads</x:v>
      </x:c>
      <x:c r="M99" s="18" t="str">
        <x:v>Promising, validate SERP</x:v>
      </x:c>
    </x:row>
    <x:row r="100">
      <x:c r="A100" s="14" t="n">
        <x:v>99</x:v>
      </x:c>
      <x:c r="B100" s="18" t="str">
        <x:v>calculator yen to usd</x:v>
      </x:c>
      <x:c r="C100" s="18" t="str">
        <x:v>Conversions &amp; Units</x:v>
      </x:c>
      <x:c r="D100" s="32" t="n">
        <x:v>90</x:v>
      </x:c>
      <x:c r="E100" s="18" t="n">
        <x:v>29</x:v>
      </x:c>
      <x:c r="F100" s="34" t="n">
        <x:v>0.04</x:v>
      </x:c>
      <x:c r="G100" s="18" t="str">
        <x:v>Yes</x:v>
      </x:c>
      <x:c r="H100" s="18" t="str">
        <x:v>Yen To Usd calculator</x:v>
      </x:c>
      <x:c r="I100" s="18" t="n">
        <x:v>1</x:v>
      </x:c>
      <x:c r="J100" s="18" t="str">
        <x:v>Easy</x:v>
      </x:c>
      <x:c r="K100" s="18" t="str">
        <x:v>High</x:v>
      </x:c>
      <x:c r="L100" s="18" t="str">
        <x:v>Ads</x:v>
      </x:c>
      <x:c r="M100" s="18" t="str">
        <x:v>Promising, validate SERP</x:v>
      </x:c>
    </x:row>
    <x:row r="101">
      <x:c r="A101" s="14" t="n">
        <x:v>100</x:v>
      </x:c>
      <x:c r="B101" s="18" t="str">
        <x:v>calculator buttons</x:v>
      </x:c>
      <x:c r="C101" s="18" t="str">
        <x:v>General / Other</x:v>
      </x:c>
      <x:c r="D101" s="32" t="n">
        <x:v>1000</x:v>
      </x:c>
      <x:c r="E101" s="18" t="n">
        <x:v>30</x:v>
      </x:c>
      <x:c r="F101" s="34" t="n">
        <x:v>0.04</x:v>
      </x:c>
      <x:c r="G101" s="18" t="str">
        <x:v>Maybe</x:v>
      </x:c>
      <x:c r="H101" s="18" t="str">
        <x:v>Buttons calculator</x:v>
      </x:c>
      <x:c r="I101" s="18" t="n">
        <x:v>1</x:v>
      </x:c>
      <x:c r="J101" s="18" t="str">
        <x:v>Easy</x:v>
      </x:c>
      <x:c r="K101" s="18" t="str">
        <x:v>Medium</x:v>
      </x:c>
      <x:c r="L101" s="18" t="str">
        <x:v>Ads</x:v>
      </x:c>
      <x:c r="M101" s="18" t="str">
        <x:v>Promising, validate SERP</x:v>
      </x:c>
    </x:row>
    <x:row r="102">
      <x:c r="A102" s="14" t="n">
        <x:v>101</x:v>
      </x:c>
      <x:c r="B102" s="18" t="str">
        <x:v>calculator ruler</x:v>
      </x:c>
      <x:c r="C102" s="18" t="str">
        <x:v>General / Other</x:v>
      </x:c>
      <x:c r="D102" s="32" t="n">
        <x:v>720</x:v>
      </x:c>
      <x:c r="E102" s="18" t="n">
        <x:v>30</x:v>
      </x:c>
      <x:c r="F102" s="34" t="n">
        <x:v>0.27</x:v>
      </x:c>
      <x:c r="G102" s="18" t="str">
        <x:v>Maybe</x:v>
      </x:c>
      <x:c r="H102" s="18" t="str">
        <x:v>Ruler calculator</x:v>
      </x:c>
      <x:c r="I102" s="18" t="n">
        <x:v>1</x:v>
      </x:c>
      <x:c r="J102" s="18" t="str">
        <x:v>Easy</x:v>
      </x:c>
      <x:c r="K102" s="18" t="str">
        <x:v>Medium</x:v>
      </x:c>
      <x:c r="L102" s="18" t="str">
        <x:v>Ads</x:v>
      </x:c>
      <x:c r="M102" s="18" t="str">
        <x:v>Promising, validate SERP</x:v>
      </x:c>
    </x:row>
    <x:row r="103">
      <x:c r="A103" s="14" t="n">
        <x:v>102</x:v>
      </x:c>
      <x:c r="B103" s="18" t="str">
        <x:v>calculator keys</x:v>
      </x:c>
      <x:c r="C103" s="18" t="str">
        <x:v>General / Other</x:v>
      </x:c>
      <x:c r="D103" s="32" t="n">
        <x:v>320</x:v>
      </x:c>
      <x:c r="E103" s="18" t="n">
        <x:v>30</x:v>
      </x:c>
      <x:c r="F103" s="34" t="n">
        <x:v>0</x:v>
      </x:c>
      <x:c r="G103" s="18" t="str">
        <x:v>Maybe</x:v>
      </x:c>
      <x:c r="H103" s="18" t="str">
        <x:v>Keys calculator</x:v>
      </x:c>
      <x:c r="I103" s="18" t="n">
        <x:v>1</x:v>
      </x:c>
      <x:c r="J103" s="18" t="str">
        <x:v>Easy</x:v>
      </x:c>
      <x:c r="K103" s="18" t="str">
        <x:v>Medium</x:v>
      </x:c>
      <x:c r="L103" s="18" t="str">
        <x:v>Ads</x:v>
      </x:c>
      <x:c r="M103" s="18" t="str">
        <x:v>Promising, validate SERP</x:v>
      </x:c>
    </x:row>
    <x:row r="104">
      <x:c r="A104" s="14" t="n">
        <x:v>103</x:v>
      </x:c>
      <x:c r="B104" s="18" t="str">
        <x:v>calculator 1970s</x:v>
      </x:c>
      <x:c r="C104" s="18" t="str">
        <x:v>General / Other</x:v>
      </x:c>
      <x:c r="D104" s="32" t="n">
        <x:v>260</x:v>
      </x:c>
      <x:c r="E104" s="18" t="n">
        <x:v>30</x:v>
      </x:c>
      <x:c r="F104" s="34" t="n">
        <x:v>0.13</x:v>
      </x:c>
      <x:c r="G104" s="18" t="str">
        <x:v>Maybe</x:v>
      </x:c>
      <x:c r="H104" s="18" t="str">
        <x:v>1970S calculator</x:v>
      </x:c>
      <x:c r="I104" s="18" t="n">
        <x:v>1</x:v>
      </x:c>
      <x:c r="J104" s="18" t="str">
        <x:v>Easy</x:v>
      </x:c>
      <x:c r="K104" s="18" t="str">
        <x:v>Medium</x:v>
      </x:c>
      <x:c r="L104" s="18" t="str">
        <x:v>Ads</x:v>
      </x:c>
      <x:c r="M104" s="18" t="str">
        <x:v>Promising, validate SERP</x:v>
      </x:c>
    </x:row>
    <x:row r="105">
      <x:c r="A105" s="14" t="n">
        <x:v>104</x:v>
      </x:c>
      <x:c r="B105" s="18" t="str">
        <x:v>calculator magic trick date and time</x:v>
      </x:c>
      <x:c r="C105" s="18" t="str">
        <x:v>Date &amp; Time</x:v>
      </x:c>
      <x:c r="D105" s="32" t="n">
        <x:v>90</x:v>
      </x:c>
      <x:c r="E105" s="18" t="n">
        <x:v>30</x:v>
      </x:c>
      <x:c r="F105" s="34" t="n">
        <x:v>0</x:v>
      </x:c>
      <x:c r="G105" s="18" t="str">
        <x:v>Yes</x:v>
      </x:c>
      <x:c r="H105" s="18" t="str">
        <x:v>Date calculator</x:v>
      </x:c>
      <x:c r="I105" s="18" t="n">
        <x:v>9</x:v>
      </x:c>
      <x:c r="J105" s="18" t="str">
        <x:v>Easy</x:v>
      </x:c>
      <x:c r="K105" s="18" t="str">
        <x:v>Medium</x:v>
      </x:c>
      <x:c r="L105" s="18" t="str">
        <x:v>Ads</x:v>
      </x:c>
      <x:c r="M105" s="18" t="str">
        <x:v>Promising, validate SERP</x:v>
      </x:c>
    </x:row>
    <x:row r="106">
      <x:c r="A106" s="14" t="n">
        <x:v>105</x:v>
      </x:c>
      <x:c r="B106" s="18" t="str">
        <x:v>calculator jokes upside down</x:v>
      </x:c>
      <x:c r="C106" s="18" t="str">
        <x:v>General / Other</x:v>
      </x:c>
      <x:c r="D106" s="32" t="n">
        <x:v>70</x:v>
      </x:c>
      <x:c r="E106" s="18" t="n">
        <x:v>30</x:v>
      </x:c>
      <x:c r="F106" s="34" t="n">
        <x:v>0</x:v>
      </x:c>
      <x:c r="G106" s="18" t="str">
        <x:v>Maybe</x:v>
      </x:c>
      <x:c r="H106" s="18" t="str">
        <x:v>Jokes Upside Down calculator</x:v>
      </x:c>
      <x:c r="I106" s="18" t="n">
        <x:v>1</x:v>
      </x:c>
      <x:c r="J106" s="18" t="str">
        <x:v>Easy</x:v>
      </x:c>
      <x:c r="K106" s="18" t="str">
        <x:v>Medium</x:v>
      </x:c>
      <x:c r="L106" s="18" t="str">
        <x:v>Ads</x:v>
      </x:c>
      <x:c r="M106" s="18" t="str">
        <x:v>Promising, validate SERP</x:v>
      </x:c>
    </x:row>
    <x:row r="107">
      <x:c r="A107" s="14" t="n">
        <x:v>106</x:v>
      </x:c>
      <x:c r="B107" s="18" t="str">
        <x:v>calculator quotes</x:v>
      </x:c>
      <x:c r="C107" s="18" t="str">
        <x:v>General / Other</x:v>
      </x:c>
      <x:c r="D107" s="32" t="n">
        <x:v>40</x:v>
      </x:c>
      <x:c r="E107" s="18" t="n">
        <x:v>30</x:v>
      </x:c>
      <x:c r="F107" s="34" t="n">
        <x:v>18.98</x:v>
      </x:c>
      <x:c r="G107" s="18" t="str">
        <x:v>Maybe</x:v>
      </x:c>
      <x:c r="H107" s="18" t="str">
        <x:v>Quotes calculator</x:v>
      </x:c>
      <x:c r="I107" s="18" t="n">
        <x:v>1</x:v>
      </x:c>
      <x:c r="J107" s="18" t="str">
        <x:v>Easy</x:v>
      </x:c>
      <x:c r="K107" s="18" t="str">
        <x:v>Medium</x:v>
      </x:c>
      <x:c r="L107" s="18" t="str">
        <x:v>Ads</x:v>
      </x:c>
      <x:c r="M107" s="18" t="str">
        <x:v>Promising, validate SERP</x:v>
      </x:c>
    </x:row>
    <x:row r="108">
      <x:c r="A108" s="14" t="n">
        <x:v>107</x:v>
      </x:c>
      <x:c r="B108" s="18" t="str">
        <x:v>calculator allowed on act</x:v>
      </x:c>
      <x:c r="C108" s="18" t="str">
        <x:v>General / Other</x:v>
      </x:c>
      <x:c r="D108" s="32" t="n">
        <x:v>1000</x:v>
      </x:c>
      <x:c r="E108" s="18" t="n">
        <x:v>31</x:v>
      </x:c>
      <x:c r="F108" s="34" t="n">
        <x:v>0</x:v>
      </x:c>
      <x:c r="G108" s="18" t="str">
        <x:v>Maybe</x:v>
      </x:c>
      <x:c r="H108" s="18" t="str">
        <x:v>Allowed On Act calculator</x:v>
      </x:c>
      <x:c r="I108" s="18" t="n">
        <x:v>1</x:v>
      </x:c>
      <x:c r="J108" s="18" t="str">
        <x:v>Easy</x:v>
      </x:c>
      <x:c r="K108" s="18" t="str">
        <x:v>Medium</x:v>
      </x:c>
      <x:c r="L108" s="18" t="str">
        <x:v>Ads</x:v>
      </x:c>
      <x:c r="M108" s="18" t="str">
        <x:v>Promising, validate SERP</x:v>
      </x:c>
    </x:row>
    <x:row r="109">
      <x:c r="A109" s="14" t="n">
        <x:v>108</x:v>
      </x:c>
      <x:c r="B109" s="18" t="str">
        <x:v>calculator plus</x:v>
      </x:c>
      <x:c r="C109" s="18" t="str">
        <x:v>General / Other</x:v>
      </x:c>
      <x:c r="D109" s="32" t="n">
        <x:v>480</x:v>
      </x:c>
      <x:c r="E109" s="18" t="n">
        <x:v>31</x:v>
      </x:c>
      <x:c r="F109" s="34" t="n">
        <x:v>1.81</x:v>
      </x:c>
      <x:c r="G109" s="18" t="str">
        <x:v>Maybe</x:v>
      </x:c>
      <x:c r="H109" s="18" t="str">
        <x:v>Plus calculator</x:v>
      </x:c>
      <x:c r="I109" s="18" t="n">
        <x:v>1</x:v>
      </x:c>
      <x:c r="J109" s="18" t="str">
        <x:v>Easy</x:v>
      </x:c>
      <x:c r="K109" s="18" t="str">
        <x:v>Medium</x:v>
      </x:c>
      <x:c r="L109" s="18" t="str">
        <x:v>Ads</x:v>
      </x:c>
      <x:c r="M109" s="18" t="str">
        <x:v>Promising, validate SERP</x:v>
      </x:c>
    </x:row>
    <x:row r="110">
      <x:c r="A110" s="14" t="n">
        <x:v>109</x:v>
      </x:c>
      <x:c r="B110" s="18" t="str">
        <x:v>calculator pesos to dollars</x:v>
      </x:c>
      <x:c r="C110" s="18" t="str">
        <x:v>General / Other</x:v>
      </x:c>
      <x:c r="D110" s="32" t="n">
        <x:v>320</x:v>
      </x:c>
      <x:c r="E110" s="18" t="n">
        <x:v>31</x:v>
      </x:c>
      <x:c r="F110" s="34" t="n">
        <x:v>0.2</x:v>
      </x:c>
      <x:c r="G110" s="18" t="str">
        <x:v>Maybe</x:v>
      </x:c>
      <x:c r="H110" s="18" t="str">
        <x:v>Pesos To Dollars calculator</x:v>
      </x:c>
      <x:c r="I110" s="18" t="n">
        <x:v>1</x:v>
      </x:c>
      <x:c r="J110" s="18" t="str">
        <x:v>Easy</x:v>
      </x:c>
      <x:c r="K110" s="18" t="str">
        <x:v>Medium</x:v>
      </x:c>
      <x:c r="L110" s="18" t="str">
        <x:v>Ads</x:v>
      </x:c>
      <x:c r="M110" s="18" t="str">
        <x:v>Promising, validate SERP</x:v>
      </x:c>
    </x:row>
    <x:row r="111">
      <x:c r="A111" s="14" t="n">
        <x:v>110</x:v>
      </x:c>
      <x:c r="B111" s="18" t="str">
        <x:v>calculator e meaning</x:v>
      </x:c>
      <x:c r="C111" s="18" t="str">
        <x:v>General / Other</x:v>
      </x:c>
      <x:c r="D111" s="32" t="n">
        <x:v>90</x:v>
      </x:c>
      <x:c r="E111" s="18" t="n">
        <x:v>31</x:v>
      </x:c>
      <x:c r="F111" s="34" t="n">
        <x:v>0</x:v>
      </x:c>
      <x:c r="G111" s="18" t="str">
        <x:v>Maybe</x:v>
      </x:c>
      <x:c r="H111" s="18" t="str">
        <x:v>E Meaning calculator</x:v>
      </x:c>
      <x:c r="I111" s="18" t="n">
        <x:v>1</x:v>
      </x:c>
      <x:c r="J111" s="18" t="str">
        <x:v>Easy</x:v>
      </x:c>
      <x:c r="K111" s="18" t="str">
        <x:v>Medium</x:v>
      </x:c>
      <x:c r="L111" s="18" t="str">
        <x:v>Ads</x:v>
      </x:c>
      <x:c r="M111" s="18" t="str">
        <x:v>Promising, validate SERP</x:v>
      </x:c>
    </x:row>
    <x:row r="112">
      <x:c r="A112" s="14" t="n">
        <x:v>111</x:v>
      </x:c>
      <x:c r="B112" s="18" t="str">
        <x:v>calculator richard watterson</x:v>
      </x:c>
      <x:c r="C112" s="18" t="str">
        <x:v>General / Other</x:v>
      </x:c>
      <x:c r="D112" s="32" t="n">
        <x:v>90</x:v>
      </x:c>
      <x:c r="E112" s="18" t="n">
        <x:v>31</x:v>
      </x:c>
      <x:c r="F112" s="34" t="n">
        <x:v>0</x:v>
      </x:c>
      <x:c r="G112" s="18" t="str">
        <x:v>Maybe</x:v>
      </x:c>
      <x:c r="H112" s="18" t="str">
        <x:v>Richard Watterson calculator</x:v>
      </x:c>
      <x:c r="I112" s="18" t="n">
        <x:v>1</x:v>
      </x:c>
      <x:c r="J112" s="18" t="str">
        <x:v>Easy</x:v>
      </x:c>
      <x:c r="K112" s="18" t="str">
        <x:v>Medium</x:v>
      </x:c>
      <x:c r="L112" s="18" t="str">
        <x:v>Ads</x:v>
      </x:c>
      <x:c r="M112" s="18" t="str">
        <x:v>Promising, validate SERP</x:v>
      </x:c>
    </x:row>
    <x:row r="113">
      <x:c r="A113" s="14" t="n">
        <x:v>112</x:v>
      </x:c>
      <x:c r="B113" s="18" t="str">
        <x:v>calculator yards</x:v>
      </x:c>
      <x:c r="C113" s="18" t="str">
        <x:v>General / Other</x:v>
      </x:c>
      <x:c r="D113" s="32" t="n">
        <x:v>4400</x:v>
      </x:c>
      <x:c r="E113" s="18" t="n">
        <x:v>32</x:v>
      </x:c>
      <x:c r="F113" s="34" t="n">
        <x:v>1.45</x:v>
      </x:c>
      <x:c r="G113" s="18" t="str">
        <x:v>Maybe</x:v>
      </x:c>
      <x:c r="H113" s="18" t="str">
        <x:v>Yards calculator</x:v>
      </x:c>
      <x:c r="I113" s="18" t="n">
        <x:v>1</x:v>
      </x:c>
      <x:c r="J113" s="18" t="str">
        <x:v>Easy</x:v>
      </x:c>
      <x:c r="K113" s="18" t="str">
        <x:v>Medium</x:v>
      </x:c>
      <x:c r="L113" s="18" t="str">
        <x:v>Ads</x:v>
      </x:c>
      <x:c r="M113" s="18" t="str">
        <x:v>Promising, validate SERP</x:v>
      </x:c>
    </x:row>
    <x:row r="114">
      <x:c r="A114" s="14" t="n">
        <x:v>113</x:v>
      </x:c>
      <x:c r="B114" s="18" t="str">
        <x:v>calculator icon</x:v>
      </x:c>
      <x:c r="C114" s="18" t="str">
        <x:v>General / Other</x:v>
      </x:c>
      <x:c r="D114" s="32" t="n">
        <x:v>1600</x:v>
      </x:c>
      <x:c r="E114" s="18" t="n">
        <x:v>32</x:v>
      </x:c>
      <x:c r="F114" s="34" t="n">
        <x:v>2.62</x:v>
      </x:c>
      <x:c r="G114" s="18" t="str">
        <x:v>Maybe</x:v>
      </x:c>
      <x:c r="H114" s="18" t="str">
        <x:v>Icon calculator</x:v>
      </x:c>
      <x:c r="I114" s="18" t="n">
        <x:v>1</x:v>
      </x:c>
      <x:c r="J114" s="18" t="str">
        <x:v>Easy</x:v>
      </x:c>
      <x:c r="K114" s="18" t="str">
        <x:v>Medium</x:v>
      </x:c>
      <x:c r="L114" s="18" t="str">
        <x:v>Ads</x:v>
      </x:c>
      <x:c r="M114" s="18" t="str">
        <x:v>Promising, validate SERP</x:v>
      </x:c>
    </x:row>
    <x:row r="115">
      <x:c r="A115" s="14" t="n">
        <x:v>114</x:v>
      </x:c>
      <x:c r="B115" s="18" t="str">
        <x:v>calculator in degree mode</x:v>
      </x:c>
      <x:c r="C115" s="18" t="str">
        <x:v>General / Other</x:v>
      </x:c>
      <x:c r="D115" s="32" t="n">
        <x:v>1000</x:v>
      </x:c>
      <x:c r="E115" s="18" t="n">
        <x:v>32</x:v>
      </x:c>
      <x:c r="F115" s="34" t="n">
        <x:v>1.84</x:v>
      </x:c>
      <x:c r="G115" s="18" t="str">
        <x:v>Maybe</x:v>
      </x:c>
      <x:c r="H115" s="18" t="str">
        <x:v>In Degree Mode calculator</x:v>
      </x:c>
      <x:c r="I115" s="18" t="n">
        <x:v>1</x:v>
      </x:c>
      <x:c r="J115" s="18" t="str">
        <x:v>Easy</x:v>
      </x:c>
      <x:c r="K115" s="18" t="str">
        <x:v>Medium</x:v>
      </x:c>
      <x:c r="L115" s="18" t="str">
        <x:v>Ads</x:v>
      </x:c>
      <x:c r="M115" s="18" t="str">
        <x:v>Promising, validate SERP</x:v>
      </x:c>
    </x:row>
    <x:row r="116">
      <x:c r="A116" s="14" t="n">
        <x:v>115</x:v>
      </x:c>
      <x:c r="B116" s="18" t="str">
        <x:v>calculator 10 key</x:v>
      </x:c>
      <x:c r="C116" s="18" t="str">
        <x:v>General / Other</x:v>
      </x:c>
      <x:c r="D116" s="32" t="n">
        <x:v>2900</x:v>
      </x:c>
      <x:c r="E116" s="18" t="n">
        <x:v>33</x:v>
      </x:c>
      <x:c r="F116" s="34" t="n">
        <x:v>0.54</x:v>
      </x:c>
      <x:c r="G116" s="18" t="str">
        <x:v>Maybe</x:v>
      </x:c>
      <x:c r="H116" s="18" t="str">
        <x:v>10 Key calculator</x:v>
      </x:c>
      <x:c r="I116" s="18" t="n">
        <x:v>1</x:v>
      </x:c>
      <x:c r="J116" s="18" t="str">
        <x:v>Easy</x:v>
      </x:c>
      <x:c r="K116" s="18" t="str">
        <x:v>Medium</x:v>
      </x:c>
      <x:c r="L116" s="18" t="str">
        <x:v>Ads</x:v>
      </x:c>
      <x:c r="M116" s="18" t="str">
        <x:v>Promising, validate SERP</x:v>
      </x:c>
    </x:row>
    <x:row r="117">
      <x:c r="A117" s="14" t="n">
        <x:v>116</x:v>
      </x:c>
      <x:c r="B117" s="18" t="str">
        <x:v>calculator logo</x:v>
      </x:c>
      <x:c r="C117" s="18" t="str">
        <x:v>Math &amp; Education</x:v>
      </x:c>
      <x:c r="D117" s="32" t="n">
        <x:v>390</x:v>
      </x:c>
      <x:c r="E117" s="18" t="n">
        <x:v>33</x:v>
      </x:c>
      <x:c r="F117" s="34" t="n">
        <x:v>0</x:v>
      </x:c>
      <x:c r="G117" s="18" t="str">
        <x:v>Yes</x:v>
      </x:c>
      <x:c r="H117" s="18" t="str">
        <x:v>Logo calculator</x:v>
      </x:c>
      <x:c r="I117" s="18" t="n">
        <x:v>1</x:v>
      </x:c>
      <x:c r="J117" s="18" t="str">
        <x:v>Easy</x:v>
      </x:c>
      <x:c r="K117" s="18" t="str">
        <x:v>Medium</x:v>
      </x:c>
      <x:c r="L117" s="18" t="str">
        <x:v>Ads / EdTech</x:v>
      </x:c>
      <x:c r="M117" s="18" t="str">
        <x:v>Promising, validate SERP</x:v>
      </x:c>
    </x:row>
    <x:row r="118">
      <x:c r="A118" s="14" t="n">
        <x:v>117</x:v>
      </x:c>
      <x:c r="B118" s="18" t="str">
        <x:v>calculator exponent button</x:v>
      </x:c>
      <x:c r="C118" s="18" t="str">
        <x:v>Math &amp; Education</x:v>
      </x:c>
      <x:c r="D118" s="32" t="n">
        <x:v>260</x:v>
      </x:c>
      <x:c r="E118" s="18" t="n">
        <x:v>33</x:v>
      </x:c>
      <x:c r="F118" s="34" t="n">
        <x:v>0.57</x:v>
      </x:c>
      <x:c r="G118" s="18" t="str">
        <x:v>Yes</x:v>
      </x:c>
      <x:c r="H118" s="18" t="str">
        <x:v>Exponent Button calculator</x:v>
      </x:c>
      <x:c r="I118" s="18" t="n">
        <x:v>1</x:v>
      </x:c>
      <x:c r="J118" s="18" t="str">
        <x:v>Easy</x:v>
      </x:c>
      <x:c r="K118" s="18" t="str">
        <x:v>Medium</x:v>
      </x:c>
      <x:c r="L118" s="18" t="str">
        <x:v>Ads / EdTech</x:v>
      </x:c>
      <x:c r="M118" s="18" t="str">
        <x:v>Promising, validate SERP</x:v>
      </x:c>
    </x:row>
    <x:row r="119">
      <x:c r="A119" s="14" t="n">
        <x:v>118</x:v>
      </x:c>
      <x:c r="B119" s="18" t="str">
        <x:v>calculator javascript</x:v>
      </x:c>
      <x:c r="C119" s="18" t="str">
        <x:v>General / Other</x:v>
      </x:c>
      <x:c r="D119" s="32" t="n">
        <x:v>70</x:v>
      </x:c>
      <x:c r="E119" s="18" t="n">
        <x:v>34</x:v>
      </x:c>
      <x:c r="F119" s="34" t="n">
        <x:v>0</x:v>
      </x:c>
      <x:c r="G119" s="18" t="str">
        <x:v>Maybe</x:v>
      </x:c>
      <x:c r="H119" s="18" t="str">
        <x:v>Javascript calculator</x:v>
      </x:c>
      <x:c r="I119" s="18" t="n">
        <x:v>1</x:v>
      </x:c>
      <x:c r="J119" s="18" t="str">
        <x:v>Easy</x:v>
      </x:c>
      <x:c r="K119" s="18" t="str">
        <x:v>Medium</x:v>
      </x:c>
      <x:c r="L119" s="18" t="str">
        <x:v>Ads</x:v>
      </x:c>
      <x:c r="M119" s="18" t="str">
        <x:v>Promising, validate SERP</x:v>
      </x:c>
    </x:row>
    <x:row r="120">
      <x:c r="A120" s="14" t="n">
        <x:v>119</x:v>
      </x:c>
      <x:c r="B120" s="18" t="str">
        <x:v>calculator days between</x:v>
      </x:c>
      <x:c r="C120" s="18" t="str">
        <x:v>Date &amp; Time</x:v>
      </x:c>
      <x:c r="D120" s="32" t="n">
        <x:v>74000</x:v>
      </x:c>
      <x:c r="E120" s="18" t="n">
        <x:v>35</x:v>
      </x:c>
      <x:c r="F120" s="34" t="n">
        <x:v>0.02</x:v>
      </x:c>
      <x:c r="G120" s="18" t="str">
        <x:v>Yes</x:v>
      </x:c>
      <x:c r="H120" s="18" t="str">
        <x:v>Date difference calculator</x:v>
      </x:c>
      <x:c r="I120" s="18" t="n">
        <x:v>4</x:v>
      </x:c>
      <x:c r="J120" s="18" t="str">
        <x:v>Easy</x:v>
      </x:c>
      <x:c r="K120" s="18" t="str">
        <x:v>Medium</x:v>
      </x:c>
      <x:c r="L120" s="18" t="str">
        <x:v>Ads</x:v>
      </x:c>
      <x:c r="M120" s="18" t="str">
        <x:v>Promising, validate SERP</x:v>
      </x:c>
    </x:row>
    <x:row r="121">
      <x:c r="A121" s="14" t="n">
        <x:v>120</x:v>
      </x:c>
      <x:c r="B121" s="18" t="str">
        <x:v>calculator kg to lbs</x:v>
      </x:c>
      <x:c r="C121" s="18" t="str">
        <x:v>Conversions &amp; Units</x:v>
      </x:c>
      <x:c r="D121" s="32" t="n">
        <x:v>18100</x:v>
      </x:c>
      <x:c r="E121" s="18" t="n">
        <x:v>35</x:v>
      </x:c>
      <x:c r="F121" s="34" t="n">
        <x:v>0</x:v>
      </x:c>
      <x:c r="G121" s="18" t="str">
        <x:v>Yes</x:v>
      </x:c>
      <x:c r="H121" s="18" t="str">
        <x:v>Weight unit converter</x:v>
      </x:c>
      <x:c r="I121" s="18" t="n">
        <x:v>2</x:v>
      </x:c>
      <x:c r="J121" s="18" t="str">
        <x:v>Easy</x:v>
      </x:c>
      <x:c r="K121" s="18" t="str">
        <x:v>Medium</x:v>
      </x:c>
      <x:c r="L121" s="18" t="str">
        <x:v>Ads</x:v>
      </x:c>
      <x:c r="M121" s="18" t="str">
        <x:v>Promising, validate SERP</x:v>
      </x:c>
    </x:row>
    <x:row r="122">
      <x:c r="A122" s="14" t="n">
        <x:v>121</x:v>
      </x:c>
      <x:c r="B122" s="18" t="str">
        <x:v>calculator radian mode</x:v>
      </x:c>
      <x:c r="C122" s="18" t="str">
        <x:v>General / Other</x:v>
      </x:c>
      <x:c r="D122" s="32" t="n">
        <x:v>210</x:v>
      </x:c>
      <x:c r="E122" s="18" t="n">
        <x:v>35</x:v>
      </x:c>
      <x:c r="F122" s="34" t="n">
        <x:v>0</x:v>
      </x:c>
      <x:c r="G122" s="18" t="str">
        <x:v>Maybe</x:v>
      </x:c>
      <x:c r="H122" s="18" t="str">
        <x:v>Radian Mode calculator</x:v>
      </x:c>
      <x:c r="I122" s="18" t="n">
        <x:v>1</x:v>
      </x:c>
      <x:c r="J122" s="18" t="str">
        <x:v>Easy</x:v>
      </x:c>
      <x:c r="K122" s="18" t="str">
        <x:v>Medium</x:v>
      </x:c>
      <x:c r="L122" s="18" t="str">
        <x:v>Ads</x:v>
      </x:c>
      <x:c r="M122" s="18" t="str">
        <x:v>Promising, validate SERP</x:v>
      </x:c>
    </x:row>
    <x:row r="123">
      <x:c r="A123" s="14" t="n">
        <x:v>122</x:v>
      </x:c>
      <x:c r="B123" s="18" t="str">
        <x:v>calculator band</x:v>
      </x:c>
      <x:c r="C123" s="18" t="str">
        <x:v>General / Other</x:v>
      </x:c>
      <x:c r="D123" s="32" t="n">
        <x:v>40</x:v>
      </x:c>
      <x:c r="E123" s="18" t="n">
        <x:v>35</x:v>
      </x:c>
      <x:c r="F123" s="34" t="n">
        <x:v>0</x:v>
      </x:c>
      <x:c r="G123" s="18" t="str">
        <x:v>Maybe</x:v>
      </x:c>
      <x:c r="H123" s="18" t="str">
        <x:v>Band calculator</x:v>
      </x:c>
      <x:c r="I123" s="18" t="n">
        <x:v>1</x:v>
      </x:c>
      <x:c r="J123" s="18" t="str">
        <x:v>Easy</x:v>
      </x:c>
      <x:c r="K123" s="18" t="str">
        <x:v>Medium</x:v>
      </x:c>
      <x:c r="L123" s="18" t="str">
        <x:v>Ads</x:v>
      </x:c>
      <x:c r="M123" s="18" t="str">
        <x:v>Promising, validate SERP</x:v>
      </x:c>
    </x:row>
    <x:row r="124">
      <x:c r="A124" s="14" t="n">
        <x:v>123</x:v>
      </x:c>
      <x:c r="B124" s="18" t="str">
        <x:v>calculator 90 days from date</x:v>
      </x:c>
      <x:c r="C124" s="18" t="str">
        <x:v>Date &amp; Time</x:v>
      </x:c>
      <x:c r="D124" s="32" t="n">
        <x:v>0</x:v>
      </x:c>
      <x:c r="E124" s="18" t="n">
        <x:v>35</x:v>
      </x:c>
      <x:c r="F124" s="34" t="n">
        <x:v>0</x:v>
      </x:c>
      <x:c r="G124" s="18" t="str">
        <x:v>Yes</x:v>
      </x:c>
      <x:c r="H124" s="18" t="str">
        <x:v>Date calculator</x:v>
      </x:c>
      <x:c r="I124" s="18" t="n">
        <x:v>9</x:v>
      </x:c>
      <x:c r="J124" s="18" t="str">
        <x:v>Easy</x:v>
      </x:c>
      <x:c r="K124" s="18" t="str">
        <x:v>Medium</x:v>
      </x:c>
      <x:c r="L124" s="18" t="str">
        <x:v>Ads</x:v>
      </x:c>
      <x:c r="M124" s="18" t="str">
        <x:v>Promising, validate SERP</x:v>
      </x:c>
    </x:row>
    <x:row r="125">
      <x:c r="A125" s="14" t="n">
        <x:v>124</x:v>
      </x:c>
      <x:c r="B125" s="18" t="str">
        <x:v>calculator 529</x:v>
      </x:c>
      <x:c r="C125" s="18" t="str">
        <x:v>Personal Finance &amp; Investing</x:v>
      </x:c>
      <x:c r="D125" s="32" t="n">
        <x:v>18100</x:v>
      </x:c>
      <x:c r="E125" s="18" t="n">
        <x:v>36</x:v>
      </x:c>
      <x:c r="F125" s="34" t="n">
        <x:v>1.3</x:v>
      </x:c>
      <x:c r="G125" s="18" t="str">
        <x:v>Yes</x:v>
      </x:c>
      <x:c r="H125" s="18" t="str">
        <x:v>529 calculator</x:v>
      </x:c>
      <x:c r="I125" s="18" t="n">
        <x:v>1</x:v>
      </x:c>
      <x:c r="J125" s="18" t="str">
        <x:v>Medium</x:v>
      </x:c>
      <x:c r="K125" s="18" t="str">
        <x:v>High</x:v>
      </x:c>
      <x:c r="L125" s="18" t="str">
        <x:v>Ads / Leads / Affiliate</x:v>
      </x:c>
      <x:c r="M125" s="18" t="str">
        <x:v>Promising, validate SERP</x:v>
      </x:c>
    </x:row>
    <x:row r="126">
      <x:c r="A126" s="14" t="n">
        <x:v>125</x:v>
      </x:c>
      <x:c r="B126" s="18" t="str">
        <x:v>calculator gravel</x:v>
      </x:c>
      <x:c r="C126" s="18" t="str">
        <x:v>Construction &amp; Home Improvement</x:v>
      </x:c>
      <x:c r="D126" s="32" t="n">
        <x:v>60500</x:v>
      </x:c>
      <x:c r="E126" s="18" t="n">
        <x:v>37</x:v>
      </x:c>
      <x:c r="F126" s="34" t="n">
        <x:v>2</x:v>
      </x:c>
      <x:c r="G126" s="18" t="str">
        <x:v>Yes</x:v>
      </x:c>
      <x:c r="H126" s="18" t="str">
        <x:v>Gravel calculator</x:v>
      </x:c>
      <x:c r="I126" s="18" t="n">
        <x:v>1</x:v>
      </x:c>
      <x:c r="J126" s="18" t="str">
        <x:v>Medium</x:v>
      </x:c>
      <x:c r="K126" s="18" t="str">
        <x:v>Medium</x:v>
      </x:c>
      <x:c r="L126" s="18" t="str">
        <x:v>Ads / Local leads / Affiliate</x:v>
      </x:c>
      <x:c r="M126" s="18" t="str">
        <x:v>Promising, validate SERP</x:v>
      </x:c>
    </x:row>
    <x:row r="127">
      <x:c r="A127" s="14" t="n">
        <x:v>126</x:v>
      </x:c>
      <x:c r="B127" s="18" t="str">
        <x:v>calculator in inches</x:v>
      </x:c>
      <x:c r="C127" s="18" t="str">
        <x:v>Conversions &amp; Units</x:v>
      </x:c>
      <x:c r="D127" s="32" t="n">
        <x:v>14800</x:v>
      </x:c>
      <x:c r="E127" s="18" t="n">
        <x:v>37</x:v>
      </x:c>
      <x:c r="F127" s="34" t="n">
        <x:v>3.76</x:v>
      </x:c>
      <x:c r="G127" s="18" t="str">
        <x:v>Maybe</x:v>
      </x:c>
      <x:c r="H127" s="18" t="str">
        <x:v>In Inches calculator</x:v>
      </x:c>
      <x:c r="I127" s="18" t="n">
        <x:v>1</x:v>
      </x:c>
      <x:c r="J127" s="18" t="str">
        <x:v>Easy</x:v>
      </x:c>
      <x:c r="K127" s="18" t="str">
        <x:v>Medium</x:v>
      </x:c>
      <x:c r="L127" s="18" t="str">
        <x:v>Ads</x:v>
      </x:c>
      <x:c r="M127" s="18" t="str">
        <x:v>Promising, validate SERP</x:v>
      </x:c>
    </x:row>
    <x:row r="128">
      <x:c r="A128" s="14" t="n">
        <x:v>127</x:v>
      </x:c>
      <x:c r="B128" s="18" t="str">
        <x:v>calculator log</x:v>
      </x:c>
      <x:c r="C128" s="18" t="str">
        <x:v>Math &amp; Education</x:v>
      </x:c>
      <x:c r="D128" s="32" t="n">
        <x:v>14800</x:v>
      </x:c>
      <x:c r="E128" s="18" t="n">
        <x:v>37</x:v>
      </x:c>
      <x:c r="F128" s="34" t="n">
        <x:v>1.35</x:v>
      </x:c>
      <x:c r="G128" s="18" t="str">
        <x:v>Yes</x:v>
      </x:c>
      <x:c r="H128" s="18" t="str">
        <x:v>Log calculator</x:v>
      </x:c>
      <x:c r="I128" s="18" t="n">
        <x:v>1</x:v>
      </x:c>
      <x:c r="J128" s="18" t="str">
        <x:v>Easy</x:v>
      </x:c>
      <x:c r="K128" s="18" t="str">
        <x:v>Medium</x:v>
      </x:c>
      <x:c r="L128" s="18" t="str">
        <x:v>Ads / EdTech</x:v>
      </x:c>
      <x:c r="M128" s="18" t="str">
        <x:v>Promising, validate SERP</x:v>
      </x:c>
    </x:row>
    <x:row r="129">
      <x:c r="A129" s="14" t="n">
        <x:v>128</x:v>
      </x:c>
      <x:c r="B129" s="18" t="str">
        <x:v>calculator usd to cad</x:v>
      </x:c>
      <x:c r="C129" s="18" t="str">
        <x:v>Conversions &amp; Units</x:v>
      </x:c>
      <x:c r="D129" s="32" t="n">
        <x:v>720</x:v>
      </x:c>
      <x:c r="E129" s="18" t="n">
        <x:v>37</x:v>
      </x:c>
      <x:c r="F129" s="34" t="n">
        <x:v>0.04</x:v>
      </x:c>
      <x:c r="G129" s="18" t="str">
        <x:v>Yes</x:v>
      </x:c>
      <x:c r="H129" s="18" t="str">
        <x:v>Usd To Cad calculator</x:v>
      </x:c>
      <x:c r="I129" s="18" t="n">
        <x:v>1</x:v>
      </x:c>
      <x:c r="J129" s="18" t="str">
        <x:v>Easy</x:v>
      </x:c>
      <x:c r="K129" s="18" t="str">
        <x:v>High</x:v>
      </x:c>
      <x:c r="L129" s="18" t="str">
        <x:v>Ads</x:v>
      </x:c>
      <x:c r="M129" s="18" t="str">
        <x:v>Promising, validate SERP</x:v>
      </x:c>
    </x:row>
    <x:row r="130">
      <x:c r="A130" s="14" t="n">
        <x:v>129</x:v>
      </x:c>
      <x:c r="B130" s="18" t="str">
        <x:v>calculator messages</x:v>
      </x:c>
      <x:c r="C130" s="18" t="str">
        <x:v>Date &amp; Time</x:v>
      </x:c>
      <x:c r="D130" s="32" t="n">
        <x:v>260</x:v>
      </x:c>
      <x:c r="E130" s="18" t="n">
        <x:v>38</x:v>
      </x:c>
      <x:c r="F130" s="34" t="n">
        <x:v>0</x:v>
      </x:c>
      <x:c r="G130" s="18" t="str">
        <x:v>Yes</x:v>
      </x:c>
      <x:c r="H130" s="18" t="str">
        <x:v>Messages calculator</x:v>
      </x:c>
      <x:c r="I130" s="18" t="n">
        <x:v>1</x:v>
      </x:c>
      <x:c r="J130" s="18" t="str">
        <x:v>Easy</x:v>
      </x:c>
      <x:c r="K130" s="18" t="str">
        <x:v>Medium</x:v>
      </x:c>
      <x:c r="L130" s="18" t="str">
        <x:v>Ads</x:v>
      </x:c>
      <x:c r="M130" s="18" t="str">
        <x:v>Promising, validate SERP</x:v>
      </x:c>
    </x:row>
    <x:row r="131">
      <x:c r="A131" s="14" t="n">
        <x:v>130</x:v>
      </x:c>
      <x:c r="B131" s="18" t="str">
        <x:v>calculator with lunch</x:v>
      </x:c>
      <x:c r="C131" s="18" t="str">
        <x:v>General / Other</x:v>
      </x:c>
      <x:c r="D131" s="32" t="n">
        <x:v>90</x:v>
      </x:c>
      <x:c r="E131" s="18" t="n">
        <x:v>38</x:v>
      </x:c>
      <x:c r="F131" s="34" t="n">
        <x:v>0</x:v>
      </x:c>
      <x:c r="G131" s="18" t="str">
        <x:v>Maybe</x:v>
      </x:c>
      <x:c r="H131" s="18" t="str">
        <x:v>With Lunch calculator</x:v>
      </x:c>
      <x:c r="I131" s="18" t="n">
        <x:v>1</x:v>
      </x:c>
      <x:c r="J131" s="18" t="str">
        <x:v>Easy</x:v>
      </x:c>
      <x:c r="K131" s="18" t="str">
        <x:v>Medium</x:v>
      </x:c>
      <x:c r="L131" s="18" t="str">
        <x:v>Ads</x:v>
      </x:c>
      <x:c r="M131" s="18" t="str">
        <x:v>Promising, validate SERP</x:v>
      </x:c>
    </x:row>
    <x:row r="132">
      <x:c r="A132" s="14" t="n">
        <x:v>131</x:v>
      </x:c>
      <x:c r="B132" s="18" t="str">
        <x:v>calculator macros</x:v>
      </x:c>
      <x:c r="C132" s="18" t="str">
        <x:v>Health, Nutrition &amp; Fitness</x:v>
      </x:c>
      <x:c r="D132" s="32" t="n">
        <x:v>210</x:v>
      </x:c>
      <x:c r="E132" s="18" t="n">
        <x:v>39</x:v>
      </x:c>
      <x:c r="F132" s="34" t="n">
        <x:v>0.75</x:v>
      </x:c>
      <x:c r="G132" s="18" t="str">
        <x:v>Yes</x:v>
      </x:c>
      <x:c r="H132" s="18" t="str">
        <x:v>Macros calculator</x:v>
      </x:c>
      <x:c r="I132" s="18" t="n">
        <x:v>1</x:v>
      </x:c>
      <x:c r="J132" s="18" t="str">
        <x:v>Easy</x:v>
      </x:c>
      <x:c r="K132" s="18" t="str">
        <x:v>Medium</x:v>
      </x:c>
      <x:c r="L132" s="18" t="str">
        <x:v>Ads / Affiliate</x:v>
      </x:c>
      <x:c r="M132" s="18" t="str">
        <x:v>Promising, validate SERP</x:v>
      </x:c>
    </x:row>
    <x:row r="133">
      <x:c r="A133" s="14" t="n">
        <x:v>132</x:v>
      </x:c>
      <x:c r="B133" s="18" t="str">
        <x:v>calculator discount</x:v>
      </x:c>
      <x:c r="C133" s="18" t="str">
        <x:v>Math &amp; Education</x:v>
      </x:c>
      <x:c r="D133" s="32" t="n">
        <x:v>40500</x:v>
      </x:c>
      <x:c r="E133" s="18" t="n">
        <x:v>40</x:v>
      </x:c>
      <x:c r="F133" s="34" t="n">
        <x:v>6.89</x:v>
      </x:c>
      <x:c r="G133" s="18" t="str">
        <x:v>Yes</x:v>
      </x:c>
      <x:c r="H133" s="18" t="str">
        <x:v>Discount/percentage-off calculator</x:v>
      </x:c>
      <x:c r="I133" s="18" t="n">
        <x:v>3</x:v>
      </x:c>
      <x:c r="J133" s="18" t="str">
        <x:v>Easy</x:v>
      </x:c>
      <x:c r="K133" s="18" t="str">
        <x:v>Medium</x:v>
      </x:c>
      <x:c r="L133" s="18" t="str">
        <x:v>Ads / EdTech</x:v>
      </x:c>
      <x:c r="M133" s="18" t="str">
        <x:v>Promising, validate SERP</x:v>
      </x:c>
    </x:row>
    <x:row r="134">
      <x:c r="A134" s="14" t="n">
        <x:v>133</x:v>
      </x:c>
      <x:c r="B134" s="18" t="str">
        <x:v>calculator 1 rep max</x:v>
      </x:c>
      <x:c r="C134" s="18" t="str">
        <x:v>Health, Nutrition &amp; Fitness</x:v>
      </x:c>
      <x:c r="D134" s="32" t="n">
        <x:v>320</x:v>
      </x:c>
      <x:c r="E134" s="18" t="n">
        <x:v>40</x:v>
      </x:c>
      <x:c r="F134" s="34" t="n">
        <x:v>0</x:v>
      </x:c>
      <x:c r="G134" s="18" t="str">
        <x:v>Yes</x:v>
      </x:c>
      <x:c r="H134" s="18" t="str">
        <x:v>1 Rep Max calculator</x:v>
      </x:c>
      <x:c r="I134" s="18" t="n">
        <x:v>1</x:v>
      </x:c>
      <x:c r="J134" s="18" t="str">
        <x:v>Easy</x:v>
      </x:c>
      <x:c r="K134" s="18" t="str">
        <x:v>Medium</x:v>
      </x:c>
      <x:c r="L134" s="18" t="str">
        <x:v>Ads / Affiliate</x:v>
      </x:c>
      <x:c r="M134" s="18" t="str">
        <x:v>Promising, validate SERP</x:v>
      </x:c>
    </x:row>
    <x:row r="135">
      <x:c r="A135" s="14" t="n">
        <x:v>134</x:v>
      </x:c>
      <x:c r="B135" s="18" t="str">
        <x:v>calculator to pay off mortgage early</x:v>
      </x:c>
      <x:c r="C135" s="18" t="str">
        <x:v>Mortgage &amp; Real Estate</x:v>
      </x:c>
      <x:c r="D135" s="32" t="n">
        <x:v>27100</x:v>
      </x:c>
      <x:c r="E135" s="18" t="n">
        <x:v>41</x:v>
      </x:c>
      <x:c r="F135" s="34" t="n">
        <x:v>0.95</x:v>
      </x:c>
      <x:c r="G135" s="18" t="str">
        <x:v>Yes</x:v>
      </x:c>
      <x:c r="H135" s="18" t="str">
        <x:v>Mortgage payment calculator</x:v>
      </x:c>
      <x:c r="I135" s="18" t="n">
        <x:v>7</x:v>
      </x:c>
      <x:c r="J135" s="18" t="str">
        <x:v>Medium</x:v>
      </x:c>
      <x:c r="K135" s="18" t="str">
        <x:v>High</x:v>
      </x:c>
      <x:c r="L135" s="18" t="str">
        <x:v>Leads / Ads / Affiliate</x:v>
      </x:c>
      <x:c r="M135" s="18" t="str">
        <x:v>Valid calculator, higher competition</x:v>
      </x:c>
    </x:row>
    <x:row r="136">
      <x:c r="A136" s="14" t="n">
        <x:v>135</x:v>
      </x:c>
      <x:c r="B136" s="18" t="str">
        <x:v>calculator exp</x:v>
      </x:c>
      <x:c r="C136" s="18" t="str">
        <x:v>General / Other</x:v>
      </x:c>
      <x:c r="D136" s="32" t="n">
        <x:v>170</x:v>
      </x:c>
      <x:c r="E136" s="18" t="n">
        <x:v>42</x:v>
      </x:c>
      <x:c r="F136" s="34" t="n">
        <x:v>0</x:v>
      </x:c>
      <x:c r="G136" s="18" t="str">
        <x:v>Maybe</x:v>
      </x:c>
      <x:c r="H136" s="18" t="str">
        <x:v>Exp calculator</x:v>
      </x:c>
      <x:c r="I136" s="18" t="n">
        <x:v>1</x:v>
      </x:c>
      <x:c r="J136" s="18" t="str">
        <x:v>Easy</x:v>
      </x:c>
      <x:c r="K136" s="18" t="str">
        <x:v>Medium</x:v>
      </x:c>
      <x:c r="L136" s="18" t="str">
        <x:v>Ads</x:v>
      </x:c>
      <x:c r="M136" s="18" t="str">
        <x:v>Valid calculator, higher competition</x:v>
      </x:c>
    </x:row>
    <x:row r="137">
      <x:c r="A137" s="14" t="n">
        <x:v>136</x:v>
      </x:c>
      <x:c r="B137" s="18" t="str">
        <x:v>calculator net tdee</x:v>
      </x:c>
      <x:c r="C137" s="18" t="str">
        <x:v>Health, Nutrition &amp; Fitness</x:v>
      </x:c>
      <x:c r="D137" s="32" t="n">
        <x:v>90</x:v>
      </x:c>
      <x:c r="E137" s="18" t="n">
        <x:v>42</x:v>
      </x:c>
      <x:c r="F137" s="34" t="n">
        <x:v>1.13</x:v>
      </x:c>
      <x:c r="G137" s="18" t="str">
        <x:v>Yes</x:v>
      </x:c>
      <x:c r="H137" s="18" t="str">
        <x:v>Net Tdee calculator</x:v>
      </x:c>
      <x:c r="I137" s="18" t="n">
        <x:v>1</x:v>
      </x:c>
      <x:c r="J137" s="18" t="str">
        <x:v>Medium</x:v>
      </x:c>
      <x:c r="K137" s="18" t="str">
        <x:v>Medium</x:v>
      </x:c>
      <x:c r="L137" s="18" t="str">
        <x:v>Ads / Affiliate</x:v>
      </x:c>
      <x:c r="M137" s="18" t="str">
        <x:v>Valid calculator, higher competition</x:v>
      </x:c>
    </x:row>
    <x:row r="138">
      <x:c r="A138" s="14" t="n">
        <x:v>137</x:v>
      </x:c>
      <x:c r="B138" s="18" t="str">
        <x:v>calculator for concrete</x:v>
      </x:c>
      <x:c r="C138" s="18" t="str">
        <x:v>Construction &amp; Home Improvement</x:v>
      </x:c>
      <x:c r="D138" s="32" t="n">
        <x:v>550000</x:v>
      </x:c>
      <x:c r="E138" s="18" t="n">
        <x:v>43</x:v>
      </x:c>
      <x:c r="F138" s="34" t="n">
        <x:v>1.59</x:v>
      </x:c>
      <x:c r="G138" s="18" t="str">
        <x:v>Yes</x:v>
      </x:c>
      <x:c r="H138" s="18" t="str">
        <x:v>Concrete calculator</x:v>
      </x:c>
      <x:c r="I138" s="18" t="n">
        <x:v>1</x:v>
      </x:c>
      <x:c r="J138" s="18" t="str">
        <x:v>Medium</x:v>
      </x:c>
      <x:c r="K138" s="18" t="str">
        <x:v>Medium</x:v>
      </x:c>
      <x:c r="L138" s="18" t="str">
        <x:v>Ads / Local leads / Affiliate</x:v>
      </x:c>
      <x:c r="M138" s="18" t="str">
        <x:v>Valid calculator, higher competition</x:v>
      </x:c>
    </x:row>
    <x:row r="139">
      <x:c r="A139" s="14" t="n">
        <x:v>138</x:v>
      </x:c>
      <x:c r="B139" s="18" t="str">
        <x:v>calculator years between two dates</x:v>
      </x:c>
      <x:c r="C139" s="18" t="str">
        <x:v>Date &amp; Time</x:v>
      </x:c>
      <x:c r="D139" s="32" t="n">
        <x:v>480</x:v>
      </x:c>
      <x:c r="E139" s="18" t="n">
        <x:v>43</x:v>
      </x:c>
      <x:c r="F139" s="34" t="n">
        <x:v>0.98</x:v>
      </x:c>
      <x:c r="G139" s="18" t="str">
        <x:v>Yes</x:v>
      </x:c>
      <x:c r="H139" s="18" t="str">
        <x:v>Date difference calculator</x:v>
      </x:c>
      <x:c r="I139" s="18" t="n">
        <x:v>4</x:v>
      </x:c>
      <x:c r="J139" s="18" t="str">
        <x:v>Easy</x:v>
      </x:c>
      <x:c r="K139" s="18" t="str">
        <x:v>Medium</x:v>
      </x:c>
      <x:c r="L139" s="18" t="str">
        <x:v>Ads</x:v>
      </x:c>
      <x:c r="M139" s="18" t="str">
        <x:v>Valid calculator, higher competition</x:v>
      </x:c>
    </x:row>
    <x:row r="140">
      <x:c r="A140" s="14" t="n">
        <x:v>139</x:v>
      </x:c>
      <x:c r="B140" s="18" t="str">
        <x:v>calculator uscis</x:v>
      </x:c>
      <x:c r="C140" s="18" t="str">
        <x:v>Government &amp; Benefits</x:v>
      </x:c>
      <x:c r="D140" s="32" t="n">
        <x:v>70</x:v>
      </x:c>
      <x:c r="E140" s="18" t="n">
        <x:v>44</x:v>
      </x:c>
      <x:c r="F140" s="34" t="n">
        <x:v>0</x:v>
      </x:c>
      <x:c r="G140" s="18" t="str">
        <x:v>Yes</x:v>
      </x:c>
      <x:c r="H140" s="18" t="str">
        <x:v>Uscis calculator</x:v>
      </x:c>
      <x:c r="I140" s="18" t="n">
        <x:v>1</x:v>
      </x:c>
      <x:c r="J140" s="18" t="str">
        <x:v>Complex</x:v>
      </x:c>
      <x:c r="K140" s="18" t="str">
        <x:v>High</x:v>
      </x:c>
      <x:c r="L140" s="18" t="str">
        <x:v>Ads</x:v>
      </x:c>
      <x:c r="M140" s="18" t="str">
        <x:v>Valid calculator, higher competition</x:v>
      </x:c>
    </x:row>
    <x:row r="141">
      <x:c r="A141" s="14" t="n">
        <x:v>140</x:v>
      </x:c>
      <x:c r="B141" s="18" t="str">
        <x:v>calculator roth ira</x:v>
      </x:c>
      <x:c r="C141" s="18" t="str">
        <x:v>Personal Finance &amp; Investing</x:v>
      </x:c>
      <x:c r="D141" s="32" t="n">
        <x:v>135000</x:v>
      </x:c>
      <x:c r="E141" s="18" t="n">
        <x:v>45</x:v>
      </x:c>
      <x:c r="F141" s="34" t="n">
        <x:v>2.12</x:v>
      </x:c>
      <x:c r="G141" s="18" t="str">
        <x:v>Yes</x:v>
      </x:c>
      <x:c r="H141" s="18" t="str">
        <x:v>Roth Ira calculator</x:v>
      </x:c>
      <x:c r="I141" s="18" t="n">
        <x:v>1</x:v>
      </x:c>
      <x:c r="J141" s="18" t="str">
        <x:v>Medium</x:v>
      </x:c>
      <x:c r="K141" s="18" t="str">
        <x:v>High</x:v>
      </x:c>
      <x:c r="L141" s="18" t="str">
        <x:v>Ads / Leads / Affiliate</x:v>
      </x:c>
      <x:c r="M141" s="18" t="str">
        <x:v>Valid calculator, higher competition</x:v>
      </x:c>
    </x:row>
    <x:row r="142">
      <x:c r="A142" s="14" t="n">
        <x:v>141</x:v>
      </x:c>
      <x:c r="B142" s="18" t="str">
        <x:v>calculator days</x:v>
      </x:c>
      <x:c r="C142" s="18" t="str">
        <x:v>Date &amp; Time</x:v>
      </x:c>
      <x:c r="D142" s="32" t="n">
        <x:v>90500</x:v>
      </x:c>
      <x:c r="E142" s="18" t="n">
        <x:v>45</x:v>
      </x:c>
      <x:c r="F142" s="34" t="n">
        <x:v>0.29</x:v>
      </x:c>
      <x:c r="G142" s="18" t="str">
        <x:v>Yes</x:v>
      </x:c>
      <x:c r="H142" s="18" t="str">
        <x:v>Days calculator</x:v>
      </x:c>
      <x:c r="I142" s="18" t="n">
        <x:v>1</x:v>
      </x:c>
      <x:c r="J142" s="18" t="str">
        <x:v>Easy</x:v>
      </x:c>
      <x:c r="K142" s="18" t="str">
        <x:v>Medium</x:v>
      </x:c>
      <x:c r="L142" s="18" t="str">
        <x:v>Ads</x:v>
      </x:c>
      <x:c r="M142" s="18" t="str">
        <x:v>Valid calculator, higher competition</x:v>
      </x:c>
    </x:row>
    <x:row r="143">
      <x:c r="A143" s="14" t="n">
        <x:v>142</x:v>
      </x:c>
      <x:c r="B143" s="18" t="str">
        <x:v>calculator home equity loan</x:v>
      </x:c>
      <x:c r="C143" s="18" t="str">
        <x:v>Mortgage &amp; Real Estate</x:v>
      </x:c>
      <x:c r="D143" s="32" t="n">
        <x:v>74000</x:v>
      </x:c>
      <x:c r="E143" s="18" t="n">
        <x:v>45</x:v>
      </x:c>
      <x:c r="F143" s="34" t="n">
        <x:v>8.13</x:v>
      </x:c>
      <x:c r="G143" s="18" t="str">
        <x:v>Yes</x:v>
      </x:c>
      <x:c r="H143" s="18" t="str">
        <x:v>Home Equity Loan calculator</x:v>
      </x:c>
      <x:c r="I143" s="18" t="n">
        <x:v>1</x:v>
      </x:c>
      <x:c r="J143" s="18" t="str">
        <x:v>Complex</x:v>
      </x:c>
      <x:c r="K143" s="18" t="str">
        <x:v>High</x:v>
      </x:c>
      <x:c r="L143" s="18" t="str">
        <x:v>Leads / Ads / Affiliate</x:v>
      </x:c>
      <x:c r="M143" s="18" t="str">
        <x:v>Valid calculator, higher competition</x:v>
      </x:c>
    </x:row>
    <x:row r="144">
      <x:c r="A144" s="14" t="n">
        <x:v>143</x:v>
      </x:c>
      <x:c r="B144" s="18" t="str">
        <x:v>calculator scientific</x:v>
      </x:c>
      <x:c r="C144" s="18" t="str">
        <x:v>Math &amp; Education</x:v>
      </x:c>
      <x:c r="D144" s="32" t="n">
        <x:v>8100</x:v>
      </x:c>
      <x:c r="E144" s="18" t="n">
        <x:v>45</x:v>
      </x:c>
      <x:c r="F144" s="34" t="n">
        <x:v>0.95</x:v>
      </x:c>
      <x:c r="G144" s="18" t="str">
        <x:v>Yes</x:v>
      </x:c>
      <x:c r="H144" s="18" t="str">
        <x:v>Scientific calculator</x:v>
      </x:c>
      <x:c r="I144" s="18" t="n">
        <x:v>2</x:v>
      </x:c>
      <x:c r="J144" s="18" t="str">
        <x:v>Easy</x:v>
      </x:c>
      <x:c r="K144" s="18" t="str">
        <x:v>Medium</x:v>
      </x:c>
      <x:c r="L144" s="18" t="str">
        <x:v>Ads / EdTech</x:v>
      </x:c>
      <x:c r="M144" s="18" t="str">
        <x:v>Valid calculator, higher competition</x:v>
      </x:c>
    </x:row>
    <x:row r="145">
      <x:c r="A145" s="14" t="n">
        <x:v>144</x:v>
      </x:c>
      <x:c r="B145" s="18" t="str">
        <x:v>calculator quick key</x:v>
      </x:c>
      <x:c r="C145" s="18" t="str">
        <x:v>General / Other</x:v>
      </x:c>
      <x:c r="D145" s="32" t="n">
        <x:v>30</x:v>
      </x:c>
      <x:c r="E145" s="18" t="n">
        <x:v>45</x:v>
      </x:c>
      <x:c r="F145" s="34" t="n">
        <x:v>0</x:v>
      </x:c>
      <x:c r="G145" s="18" t="str">
        <x:v>Maybe</x:v>
      </x:c>
      <x:c r="H145" s="18" t="str">
        <x:v>Quick Key calculator</x:v>
      </x:c>
      <x:c r="I145" s="18" t="n">
        <x:v>1</x:v>
      </x:c>
      <x:c r="J145" s="18" t="str">
        <x:v>Easy</x:v>
      </x:c>
      <x:c r="K145" s="18" t="str">
        <x:v>Medium</x:v>
      </x:c>
      <x:c r="L145" s="18" t="str">
        <x:v>Ads</x:v>
      </x:c>
      <x:c r="M145" s="18" t="str">
        <x:v>Valid calculator, higher competition</x:v>
      </x:c>
    </x:row>
    <x:row r="146">
      <x:c r="A146" s="14" t="n">
        <x:v>145</x:v>
      </x:c>
      <x:c r="B146" s="18" t="str">
        <x:v>calculator maintenance calories</x:v>
      </x:c>
      <x:c r="C146" s="18" t="str">
        <x:v>Health, Nutrition &amp; Fitness</x:v>
      </x:c>
      <x:c r="D146" s="32" t="n">
        <x:v>110000</x:v>
      </x:c>
      <x:c r="E146" s="18" t="n">
        <x:v>46</x:v>
      </x:c>
      <x:c r="F146" s="34" t="n">
        <x:v>0.06</x:v>
      </x:c>
      <x:c r="G146" s="18" t="str">
        <x:v>Yes</x:v>
      </x:c>
      <x:c r="H146" s="18" t="str">
        <x:v>Calorie calculator</x:v>
      </x:c>
      <x:c r="I146" s="18" t="n">
        <x:v>3</x:v>
      </x:c>
      <x:c r="J146" s="18" t="str">
        <x:v>Easy</x:v>
      </x:c>
      <x:c r="K146" s="18" t="str">
        <x:v>Medium</x:v>
      </x:c>
      <x:c r="L146" s="18" t="str">
        <x:v>Ads / Affiliate</x:v>
      </x:c>
      <x:c r="M146" s="18" t="str">
        <x:v>Valid calculator, higher competition</x:v>
      </x:c>
    </x:row>
    <x:row r="147">
      <x:c r="A147" s="14" t="n">
        <x:v>146</x:v>
      </x:c>
      <x:c r="B147" s="18" t="str">
        <x:v>calculator gold</x:v>
      </x:c>
      <x:c r="C147" s="18" t="str">
        <x:v>Lifestyle &amp; Entertainment</x:v>
      </x:c>
      <x:c r="D147" s="32" t="n">
        <x:v>49500</x:v>
      </x:c>
      <x:c r="E147" s="18" t="n">
        <x:v>46</x:v>
      </x:c>
      <x:c r="F147" s="34" t="n">
        <x:v>1.53</x:v>
      </x:c>
      <x:c r="G147" s="18" t="str">
        <x:v>Yes</x:v>
      </x:c>
      <x:c r="H147" s="18" t="str">
        <x:v>Gold calculator</x:v>
      </x:c>
      <x:c r="I147" s="18" t="n">
        <x:v>1</x:v>
      </x:c>
      <x:c r="J147" s="18" t="str">
        <x:v>Easy</x:v>
      </x:c>
      <x:c r="K147" s="18" t="str">
        <x:v>Medium</x:v>
      </x:c>
      <x:c r="L147" s="18" t="str">
        <x:v>Ads</x:v>
      </x:c>
      <x:c r="M147" s="18" t="str">
        <x:v>Valid calculator, higher competition</x:v>
      </x:c>
    </x:row>
    <x:row r="148">
      <x:c r="A148" s="14" t="n">
        <x:v>147</x:v>
      </x:c>
      <x:c r="B148" s="18" t="str">
        <x:v>calculator quadratic</x:v>
      </x:c>
      <x:c r="C148" s="18" t="str">
        <x:v>Math &amp; Education</x:v>
      </x:c>
      <x:c r="D148" s="32" t="n">
        <x:v>4400</x:v>
      </x:c>
      <x:c r="E148" s="18" t="n">
        <x:v>46</x:v>
      </x:c>
      <x:c r="F148" s="34" t="n">
        <x:v>3.01</x:v>
      </x:c>
      <x:c r="G148" s="18" t="str">
        <x:v>Yes</x:v>
      </x:c>
      <x:c r="H148" s="18" t="str">
        <x:v>Quadratic equation calculator</x:v>
      </x:c>
      <x:c r="I148" s="18" t="n">
        <x:v>3</x:v>
      </x:c>
      <x:c r="J148" s="18" t="str">
        <x:v>Easy</x:v>
      </x:c>
      <x:c r="K148" s="18" t="str">
        <x:v>Medium</x:v>
      </x:c>
      <x:c r="L148" s="18" t="str">
        <x:v>Ads / EdTech</x:v>
      </x:c>
      <x:c r="M148" s="18" t="str">
        <x:v>Valid calculator, higher competition</x:v>
      </x:c>
    </x:row>
    <x:row r="149">
      <x:c r="A149" s="14" t="n">
        <x:v>148</x:v>
      </x:c>
      <x:c r="B149" s="18" t="str">
        <x:v>calculator price</x:v>
      </x:c>
      <x:c r="C149" s="18" t="str">
        <x:v>General / Other</x:v>
      </x:c>
      <x:c r="D149" s="32" t="n">
        <x:v>2400</x:v>
      </x:c>
      <x:c r="E149" s="18" t="n">
        <x:v>46</x:v>
      </x:c>
      <x:c r="F149" s="34" t="n">
        <x:v>0.59</x:v>
      </x:c>
      <x:c r="G149" s="18" t="str">
        <x:v>Maybe</x:v>
      </x:c>
      <x:c r="H149" s="18" t="str">
        <x:v>Price calculator</x:v>
      </x:c>
      <x:c r="I149" s="18" t="n">
        <x:v>1</x:v>
      </x:c>
      <x:c r="J149" s="18" t="str">
        <x:v>Easy</x:v>
      </x:c>
      <x:c r="K149" s="18" t="str">
        <x:v>Medium</x:v>
      </x:c>
      <x:c r="L149" s="18" t="str">
        <x:v>Ads</x:v>
      </x:c>
      <x:c r="M149" s="18" t="str">
        <x:v>Valid calculator, higher competition</x:v>
      </x:c>
    </x:row>
    <x:row r="150">
      <x:c r="A150" s="14" t="n">
        <x:v>149</x:v>
      </x:c>
      <x:c r="B150" s="18" t="str">
        <x:v>calculator paper</x:v>
      </x:c>
      <x:c r="C150" s="18" t="str">
        <x:v>General / Other</x:v>
      </x:c>
      <x:c r="D150" s="32" t="n">
        <x:v>590</x:v>
      </x:c>
      <x:c r="E150" s="18" t="n">
        <x:v>46</x:v>
      </x:c>
      <x:c r="F150" s="34" t="n">
        <x:v>1.55</x:v>
      </x:c>
      <x:c r="G150" s="18" t="str">
        <x:v>Maybe</x:v>
      </x:c>
      <x:c r="H150" s="18" t="str">
        <x:v>Paper calculator</x:v>
      </x:c>
      <x:c r="I150" s="18" t="n">
        <x:v>1</x:v>
      </x:c>
      <x:c r="J150" s="18" t="str">
        <x:v>Easy</x:v>
      </x:c>
      <x:c r="K150" s="18" t="str">
        <x:v>Medium</x:v>
      </x:c>
      <x:c r="L150" s="18" t="str">
        <x:v>Ads</x:v>
      </x:c>
      <x:c r="M150" s="18" t="str">
        <x:v>Valid calculator, higher competition</x:v>
      </x:c>
    </x:row>
    <x:row r="151">
      <x:c r="A151" s="14" t="n">
        <x:v>150</x:v>
      </x:c>
      <x:c r="B151" s="18" t="str">
        <x:v>calculator sleep</x:v>
      </x:c>
      <x:c r="C151" s="18" t="str">
        <x:v>Health, Nutrition &amp; Fitness</x:v>
      </x:c>
      <x:c r="D151" s="32" t="n">
        <x:v>110000</x:v>
      </x:c>
      <x:c r="E151" s="18" t="n">
        <x:v>47</x:v>
      </x:c>
      <x:c r="F151" s="34" t="n">
        <x:v>1.79</x:v>
      </x:c>
      <x:c r="G151" s="18" t="str">
        <x:v>Yes</x:v>
      </x:c>
      <x:c r="H151" s="18" t="str">
        <x:v>Sleep calculator</x:v>
      </x:c>
      <x:c r="I151" s="18" t="n">
        <x:v>1</x:v>
      </x:c>
      <x:c r="J151" s="18" t="str">
        <x:v>Medium</x:v>
      </x:c>
      <x:c r="K151" s="18" t="str">
        <x:v>Medium</x:v>
      </x:c>
      <x:c r="L151" s="18" t="str">
        <x:v>Ads / Affiliate</x:v>
      </x:c>
      <x:c r="M151" s="18" t="str">
        <x:v>Valid calculator, higher competition</x:v>
      </x:c>
    </x:row>
    <x:row r="152">
      <x:c r="A152" s="14" t="n">
        <x:v>151</x:v>
      </x:c>
      <x:c r="B152" s="18" t="str">
        <x:v>calculator square feet</x:v>
      </x:c>
      <x:c r="C152" s="18" t="str">
        <x:v>Construction &amp; Home Improvement</x:v>
      </x:c>
      <x:c r="D152" s="32" t="n">
        <x:v>246000</x:v>
      </x:c>
      <x:c r="E152" s="18" t="n">
        <x:v>48</x:v>
      </x:c>
      <x:c r="F152" s="34" t="n">
        <x:v>2.9</x:v>
      </x:c>
      <x:c r="G152" s="18" t="str">
        <x:v>Yes</x:v>
      </x:c>
      <x:c r="H152" s="18" t="str">
        <x:v>Square Feet calculator</x:v>
      </x:c>
      <x:c r="I152" s="18" t="n">
        <x:v>1</x:v>
      </x:c>
      <x:c r="J152" s="18" t="str">
        <x:v>Easy</x:v>
      </x:c>
      <x:c r="K152" s="18" t="str">
        <x:v>Medium</x:v>
      </x:c>
      <x:c r="L152" s="18" t="str">
        <x:v>Ads / Local leads / Affiliate</x:v>
      </x:c>
      <x:c r="M152" s="18" t="str">
        <x:v>Valid calculator, higher competition</x:v>
      </x:c>
    </x:row>
    <x:row r="153">
      <x:c r="A153" s="14" t="n">
        <x:v>152</x:v>
      </x:c>
      <x:c r="B153" s="18" t="str">
        <x:v>calculator unemployment benefits</x:v>
      </x:c>
      <x:c r="C153" s="18" t="str">
        <x:v>Salary, Payroll &amp; Tax</x:v>
      </x:c>
      <x:c r="D153" s="32" t="n">
        <x:v>1900</x:v>
      </x:c>
      <x:c r="E153" s="18" t="n">
        <x:v>48</x:v>
      </x:c>
      <x:c r="F153" s="34" t="n">
        <x:v>2.94</x:v>
      </x:c>
      <x:c r="G153" s="18" t="str">
        <x:v>Yes</x:v>
      </x:c>
      <x:c r="H153" s="18" t="str">
        <x:v>Unemployment Benefits calculator</x:v>
      </x:c>
      <x:c r="I153" s="18" t="n">
        <x:v>1</x:v>
      </x:c>
      <x:c r="J153" s="18" t="str">
        <x:v>Complex</x:v>
      </x:c>
      <x:c r="K153" s="18" t="str">
        <x:v>High</x:v>
      </x:c>
      <x:c r="L153" s="18" t="str">
        <x:v>Ads / SaaS leads</x:v>
      </x:c>
      <x:c r="M153" s="18" t="str">
        <x:v>Valid calculator, higher competition</x:v>
      </x:c>
    </x:row>
    <x:row r="154">
      <x:c r="A154" s="14" t="n">
        <x:v>153</x:v>
      </x:c>
      <x:c r="B154" s="18" t="str">
        <x:v>calculator interest</x:v>
      </x:c>
      <x:c r="C154" s="18" t="str">
        <x:v>General / Other</x:v>
      </x:c>
      <x:c r="D154" s="32" t="n">
        <x:v>480</x:v>
      </x:c>
      <x:c r="E154" s="18" t="n">
        <x:v>48</x:v>
      </x:c>
      <x:c r="F154" s="34" t="n">
        <x:v>5.2</x:v>
      </x:c>
      <x:c r="G154" s="18" t="str">
        <x:v>Yes</x:v>
      </x:c>
      <x:c r="H154" s="18" t="str">
        <x:v>Interest calculator</x:v>
      </x:c>
      <x:c r="I154" s="18" t="n">
        <x:v>1</x:v>
      </x:c>
      <x:c r="J154" s="18" t="str">
        <x:v>Easy</x:v>
      </x:c>
      <x:c r="K154" s="18" t="str">
        <x:v>Medium</x:v>
      </x:c>
      <x:c r="L154" s="18" t="str">
        <x:v>Ads</x:v>
      </x:c>
      <x:c r="M154" s="18" t="str">
        <x:v>Valid calculator, higher competition</x:v>
      </x:c>
    </x:row>
    <x:row r="155">
      <x:c r="A155" s="14" t="n">
        <x:v>154</x:v>
      </x:c>
      <x:c r="B155" s="18" t="str">
        <x:v>calculator net height</x:v>
      </x:c>
      <x:c r="C155" s="18" t="str">
        <x:v>General / Other</x:v>
      </x:c>
      <x:c r="D155" s="32" t="n">
        <x:v>50</x:v>
      </x:c>
      <x:c r="E155" s="18" t="n">
        <x:v>48</x:v>
      </x:c>
      <x:c r="F155" s="34" t="n">
        <x:v>0</x:v>
      </x:c>
      <x:c r="G155" s="18" t="str">
        <x:v>Yes</x:v>
      </x:c>
      <x:c r="H155" s="18" t="str">
        <x:v>Net Height calculator</x:v>
      </x:c>
      <x:c r="I155" s="18" t="n">
        <x:v>1</x:v>
      </x:c>
      <x:c r="J155" s="18" t="str">
        <x:v>Easy</x:v>
      </x:c>
      <x:c r="K155" s="18" t="str">
        <x:v>Medium</x:v>
      </x:c>
      <x:c r="L155" s="18" t="str">
        <x:v>Ads</x:v>
      </x:c>
      <x:c r="M155" s="18" t="str">
        <x:v>Valid calculator, higher competition</x:v>
      </x:c>
    </x:row>
    <x:row r="156">
      <x:c r="A156" s="14" t="n">
        <x:v>155</x:v>
      </x:c>
      <x:c r="B156" s="18" t="str">
        <x:v>calculator car loan payment</x:v>
      </x:c>
      <x:c r="C156" s="18" t="str">
        <x:v>Loans &amp; Auto Finance</x:v>
      </x:c>
      <x:c r="D156" s="32" t="n">
        <x:v>135000</x:v>
      </x:c>
      <x:c r="E156" s="18" t="n">
        <x:v>49</x:v>
      </x:c>
      <x:c r="F156" s="34" t="n">
        <x:v>0.62</x:v>
      </x:c>
      <x:c r="G156" s="18" t="str">
        <x:v>Yes</x:v>
      </x:c>
      <x:c r="H156" s="18" t="str">
        <x:v>Car loan/payment calculator</x:v>
      </x:c>
      <x:c r="I156" s="18" t="n">
        <x:v>6</x:v>
      </x:c>
      <x:c r="J156" s="18" t="str">
        <x:v>Medium</x:v>
      </x:c>
      <x:c r="K156" s="18" t="str">
        <x:v>High</x:v>
      </x:c>
      <x:c r="L156" s="18" t="str">
        <x:v>Leads / Ads / Affiliate</x:v>
      </x:c>
      <x:c r="M156" s="18" t="str">
        <x:v>Valid calculator, higher competition</x:v>
      </x:c>
    </x:row>
    <x:row r="157">
      <x:c r="A157" s="14" t="n">
        <x:v>156</x:v>
      </x:c>
      <x:c r="B157" s="18" t="str">
        <x:v>calculator exponents</x:v>
      </x:c>
      <x:c r="C157" s="18" t="str">
        <x:v>Math &amp; Education</x:v>
      </x:c>
      <x:c r="D157" s="32" t="n">
        <x:v>22200</x:v>
      </x:c>
      <x:c r="E157" s="18" t="n">
        <x:v>49</x:v>
      </x:c>
      <x:c r="F157" s="34" t="n">
        <x:v>1.53</x:v>
      </x:c>
      <x:c r="G157" s="18" t="str">
        <x:v>Yes</x:v>
      </x:c>
      <x:c r="H157" s="18" t="str">
        <x:v>Exponents calculator</x:v>
      </x:c>
      <x:c r="I157" s="18" t="n">
        <x:v>1</x:v>
      </x:c>
      <x:c r="J157" s="18" t="str">
        <x:v>Easy</x:v>
      </x:c>
      <x:c r="K157" s="18" t="str">
        <x:v>Medium</x:v>
      </x:c>
      <x:c r="L157" s="18" t="str">
        <x:v>Ads / EdTech</x:v>
      </x:c>
      <x:c r="M157" s="18" t="str">
        <x:v>Valid calculator, higher competition</x:v>
      </x:c>
    </x:row>
    <x:row r="158">
      <x:c r="A158" s="14" t="n">
        <x:v>157</x:v>
      </x:c>
      <x:c r="B158" s="18" t="str">
        <x:v>calculator 3d</x:v>
      </x:c>
      <x:c r="C158" s="18" t="str">
        <x:v>General / Other</x:v>
      </x:c>
      <x:c r="D158" s="32" t="n">
        <x:v>880</x:v>
      </x:c>
      <x:c r="E158" s="18" t="n">
        <x:v>49</x:v>
      </x:c>
      <x:c r="F158" s="34" t="n">
        <x:v>0</x:v>
      </x:c>
      <x:c r="G158" s="18" t="str">
        <x:v>Maybe</x:v>
      </x:c>
      <x:c r="H158" s="18" t="str">
        <x:v>3D calculator</x:v>
      </x:c>
      <x:c r="I158" s="18" t="n">
        <x:v>1</x:v>
      </x:c>
      <x:c r="J158" s="18" t="str">
        <x:v>Easy</x:v>
      </x:c>
      <x:c r="K158" s="18" t="str">
        <x:v>Medium</x:v>
      </x:c>
      <x:c r="L158" s="18" t="str">
        <x:v>Ads</x:v>
      </x:c>
      <x:c r="M158" s="18" t="str">
        <x:v>Valid calculator, higher competition</x:v>
      </x:c>
    </x:row>
    <x:row r="159">
      <x:c r="A159" s="14" t="n">
        <x:v>158</x:v>
      </x:c>
      <x:c r="B159" s="18" t="str">
        <x:v>calculator car payment</x:v>
      </x:c>
      <x:c r="C159" s="18" t="str">
        <x:v>Loans &amp; Auto Finance</x:v>
      </x:c>
      <x:c r="D159" s="32" t="n">
        <x:v>550000</x:v>
      </x:c>
      <x:c r="E159" s="18" t="n">
        <x:v>50</x:v>
      </x:c>
      <x:c r="F159" s="34" t="n">
        <x:v>0.64</x:v>
      </x:c>
      <x:c r="G159" s="18" t="str">
        <x:v>Yes</x:v>
      </x:c>
      <x:c r="H159" s="18" t="str">
        <x:v>Car loan/payment calculator</x:v>
      </x:c>
      <x:c r="I159" s="18" t="n">
        <x:v>6</x:v>
      </x:c>
      <x:c r="J159" s="18" t="str">
        <x:v>Medium</x:v>
      </x:c>
      <x:c r="K159" s="18" t="str">
        <x:v>High</x:v>
      </x:c>
      <x:c r="L159" s="18" t="str">
        <x:v>Leads / Ads / Affiliate</x:v>
      </x:c>
      <x:c r="M159" s="18" t="str">
        <x:v>Valid calculator, higher competition</x:v>
      </x:c>
    </x:row>
    <x:row r="160">
      <x:c r="A160" s="14" t="n">
        <x:v>159</x:v>
      </x:c>
      <x:c r="B160" s="18" t="str">
        <x:v>calculator graphing</x:v>
      </x:c>
      <x:c r="C160" s="18" t="str">
        <x:v>General / Other</x:v>
      </x:c>
      <x:c r="D160" s="32" t="n">
        <x:v>368000</x:v>
      </x:c>
      <x:c r="E160" s="18" t="n">
        <x:v>50</x:v>
      </x:c>
      <x:c r="F160" s="34" t="n">
        <x:v>0.94</x:v>
      </x:c>
      <x:c r="G160" s="18" t="str">
        <x:v>Maybe</x:v>
      </x:c>
      <x:c r="H160" s="18" t="str">
        <x:v>Graphing calculator</x:v>
      </x:c>
      <x:c r="I160" s="18" t="n">
        <x:v>1</x:v>
      </x:c>
      <x:c r="J160" s="18" t="str">
        <x:v>Easy</x:v>
      </x:c>
      <x:c r="K160" s="18" t="str">
        <x:v>Medium</x:v>
      </x:c>
      <x:c r="L160" s="18" t="str">
        <x:v>Ads</x:v>
      </x:c>
      <x:c r="M160" s="18" t="str">
        <x:v>Valid calculator, higher competition</x:v>
      </x:c>
    </x:row>
    <x:row r="161">
      <x:c r="A161" s="14" t="n">
        <x:v>160</x:v>
      </x:c>
      <x:c r="B161" s="18" t="str">
        <x:v>calculator gas trip</x:v>
      </x:c>
      <x:c r="C161" s="18" t="str">
        <x:v>Travel &amp; Automotive</x:v>
      </x:c>
      <x:c r="D161" s="32" t="n">
        <x:v>18100</x:v>
      </x:c>
      <x:c r="E161" s="18" t="n">
        <x:v>50</x:v>
      </x:c>
      <x:c r="F161" s="34" t="n">
        <x:v>3.59</x:v>
      </x:c>
      <x:c r="G161" s="18" t="str">
        <x:v>Yes</x:v>
      </x:c>
      <x:c r="H161" s="18" t="str">
        <x:v>Gas Trip calculator</x:v>
      </x:c>
      <x:c r="I161" s="18" t="n">
        <x:v>1</x:v>
      </x:c>
      <x:c r="J161" s="18" t="str">
        <x:v>Medium</x:v>
      </x:c>
      <x:c r="K161" s="18" t="str">
        <x:v>Medium</x:v>
      </x:c>
      <x:c r="L161" s="18" t="str">
        <x:v>Ads / Affiliate</x:v>
      </x:c>
      <x:c r="M161" s="18" t="str">
        <x:v>Valid calculator, higher competition</x:v>
      </x:c>
    </x:row>
    <x:row r="162">
      <x:c r="A162" s="14" t="n">
        <x:v>161</x:v>
      </x:c>
      <x:c r="B162" s="18" t="str">
        <x:v>calculator 6 months from date</x:v>
      </x:c>
      <x:c r="C162" s="18" t="str">
        <x:v>Date &amp; Time</x:v>
      </x:c>
      <x:c r="D162" s="32" t="n">
        <x:v>0</x:v>
      </x:c>
      <x:c r="E162" s="18" t="n">
        <x:v>50</x:v>
      </x:c>
      <x:c r="F162" s="34" t="n">
        <x:v>0</x:v>
      </x:c>
      <x:c r="G162" s="18" t="str">
        <x:v>Yes</x:v>
      </x:c>
      <x:c r="H162" s="18" t="str">
        <x:v>Date calculator</x:v>
      </x:c>
      <x:c r="I162" s="18" t="n">
        <x:v>9</x:v>
      </x:c>
      <x:c r="J162" s="18" t="str">
        <x:v>Easy</x:v>
      </x:c>
      <x:c r="K162" s="18" t="str">
        <x:v>Medium</x:v>
      </x:c>
      <x:c r="L162" s="18" t="str">
        <x:v>Ads</x:v>
      </x:c>
      <x:c r="M162" s="18" t="str">
        <x:v>Valid calculator, higher competition</x:v>
      </x:c>
    </x:row>
    <x:row r="163">
      <x:c r="A163" s="14" t="n">
        <x:v>162</x:v>
      </x:c>
      <x:c r="B163" s="18" t="str">
        <x:v>calculator quadratic formula</x:v>
      </x:c>
      <x:c r="C163" s="18" t="str">
        <x:v>Math &amp; Education</x:v>
      </x:c>
      <x:c r="D163" s="32" t="n">
        <x:v>49500</x:v>
      </x:c>
      <x:c r="E163" s="18" t="n">
        <x:v>51</x:v>
      </x:c>
      <x:c r="F163" s="34" t="n">
        <x:v>0.35</x:v>
      </x:c>
      <x:c r="G163" s="18" t="str">
        <x:v>Yes</x:v>
      </x:c>
      <x:c r="H163" s="18" t="str">
        <x:v>Quadratic equation calculator</x:v>
      </x:c>
      <x:c r="I163" s="18" t="n">
        <x:v>3</x:v>
      </x:c>
      <x:c r="J163" s="18" t="str">
        <x:v>Easy</x:v>
      </x:c>
      <x:c r="K163" s="18" t="str">
        <x:v>Medium</x:v>
      </x:c>
      <x:c r="L163" s="18" t="str">
        <x:v>Ads / EdTech</x:v>
      </x:c>
      <x:c r="M163" s="18" t="str">
        <x:v>Valid calculator, higher competition</x:v>
      </x:c>
    </x:row>
    <x:row r="164">
      <x:c r="A164" s="14" t="n">
        <x:v>163</x:v>
      </x:c>
      <x:c r="B164" s="18" t="str">
        <x:v>calculator dc</x:v>
      </x:c>
      <x:c r="C164" s="18" t="str">
        <x:v>General / Other</x:v>
      </x:c>
      <x:c r="D164" s="32" t="n">
        <x:v>720</x:v>
      </x:c>
      <x:c r="E164" s="18" t="n">
        <x:v>51</x:v>
      </x:c>
      <x:c r="F164" s="34" t="n">
        <x:v>0</x:v>
      </x:c>
      <x:c r="G164" s="18" t="str">
        <x:v>Maybe</x:v>
      </x:c>
      <x:c r="H164" s="18" t="str">
        <x:v>Dc calculator</x:v>
      </x:c>
      <x:c r="I164" s="18" t="n">
        <x:v>1</x:v>
      </x:c>
      <x:c r="J164" s="18" t="str">
        <x:v>Easy</x:v>
      </x:c>
      <x:c r="K164" s="18" t="str">
        <x:v>Medium</x:v>
      </x:c>
      <x:c r="L164" s="18" t="str">
        <x:v>Ads</x:v>
      </x:c>
      <x:c r="M164" s="18" t="str">
        <x:v>Valid calculator, higher competition</x:v>
      </x:c>
    </x:row>
    <x:row r="165">
      <x:c r="A165" s="14" t="n">
        <x:v>164</x:v>
      </x:c>
      <x:c r="B165" s="18" t="str">
        <x:v>calculator retirement</x:v>
      </x:c>
      <x:c r="C165" s="18" t="str">
        <x:v>Personal Finance &amp; Investing</x:v>
      </x:c>
      <x:c r="D165" s="32" t="n">
        <x:v>368000</x:v>
      </x:c>
      <x:c r="E165" s="18" t="n">
        <x:v>52</x:v>
      </x:c>
      <x:c r="F165" s="34" t="n">
        <x:v>2.27</x:v>
      </x:c>
      <x:c r="G165" s="18" t="str">
        <x:v>Yes</x:v>
      </x:c>
      <x:c r="H165" s="18" t="str">
        <x:v>Retirement calculator</x:v>
      </x:c>
      <x:c r="I165" s="18" t="n">
        <x:v>1</x:v>
      </x:c>
      <x:c r="J165" s="18" t="str">
        <x:v>Complex</x:v>
      </x:c>
      <x:c r="K165" s="18" t="str">
        <x:v>High</x:v>
      </x:c>
      <x:c r="L165" s="18" t="str">
        <x:v>Ads / Leads / Affiliate</x:v>
      </x:c>
      <x:c r="M165" s="18" t="str">
        <x:v>Valid calculator, higher competition</x:v>
      </x:c>
    </x:row>
    <x:row r="166">
      <x:c r="A166" s="14" t="n">
        <x:v>165</x:v>
      </x:c>
      <x:c r="B166" s="18" t="str">
        <x:v>calculator percentage off</x:v>
      </x:c>
      <x:c r="C166" s="18" t="str">
        <x:v>Date &amp; Time</x:v>
      </x:c>
      <x:c r="D166" s="32" t="n">
        <x:v>40500</x:v>
      </x:c>
      <x:c r="E166" s="18" t="n">
        <x:v>52</x:v>
      </x:c>
      <x:c r="F166" s="34" t="n">
        <x:v>0</x:v>
      </x:c>
      <x:c r="G166" s="18" t="str">
        <x:v>Yes</x:v>
      </x:c>
      <x:c r="H166" s="18" t="str">
        <x:v>Discount/percentage-off calculator</x:v>
      </x:c>
      <x:c r="I166" s="18" t="n">
        <x:v>3</x:v>
      </x:c>
      <x:c r="J166" s="18" t="str">
        <x:v>Easy</x:v>
      </x:c>
      <x:c r="K166" s="18" t="str">
        <x:v>Medium</x:v>
      </x:c>
      <x:c r="L166" s="18" t="str">
        <x:v>Ads</x:v>
      </x:c>
      <x:c r="M166" s="18" t="str">
        <x:v>Valid calculator, higher competition</x:v>
      </x:c>
    </x:row>
    <x:row r="167">
      <x:c r="A167" s="14" t="n">
        <x:v>166</x:v>
      </x:c>
      <x:c r="B167" s="18" t="str">
        <x:v>calculator excel</x:v>
      </x:c>
      <x:c r="C167" s="18" t="str">
        <x:v>General / Other</x:v>
      </x:c>
      <x:c r="D167" s="32" t="n">
        <x:v>1000</x:v>
      </x:c>
      <x:c r="E167" s="18" t="n">
        <x:v>52</x:v>
      </x:c>
      <x:c r="F167" s="34" t="n">
        <x:v>4.89</x:v>
      </x:c>
      <x:c r="G167" s="18" t="str">
        <x:v>Maybe</x:v>
      </x:c>
      <x:c r="H167" s="18" t="str">
        <x:v>Excel calculator</x:v>
      </x:c>
      <x:c r="I167" s="18" t="n">
        <x:v>1</x:v>
      </x:c>
      <x:c r="J167" s="18" t="str">
        <x:v>Easy</x:v>
      </x:c>
      <x:c r="K167" s="18" t="str">
        <x:v>Medium</x:v>
      </x:c>
      <x:c r="L167" s="18" t="str">
        <x:v>Ads</x:v>
      </x:c>
      <x:c r="M167" s="18" t="str">
        <x:v>Valid calculator, higher competition</x:v>
      </x:c>
    </x:row>
    <x:row r="168">
      <x:c r="A168" s="14" t="n">
        <x:v>167</x:v>
      </x:c>
      <x:c r="B168" s="18" t="str">
        <x:v>calculator for statistics</x:v>
      </x:c>
      <x:c r="C168" s="18" t="str">
        <x:v>Math &amp; Education</x:v>
      </x:c>
      <x:c r="D168" s="32" t="n">
        <x:v>590</x:v>
      </x:c>
      <x:c r="E168" s="18" t="n">
        <x:v>52</x:v>
      </x:c>
      <x:c r="F168" s="34" t="n">
        <x:v>0.88</x:v>
      </x:c>
      <x:c r="G168" s="18" t="str">
        <x:v>Yes</x:v>
      </x:c>
      <x:c r="H168" s="18" t="str">
        <x:v>Statistics calculator</x:v>
      </x:c>
      <x:c r="I168" s="18" t="n">
        <x:v>1</x:v>
      </x:c>
      <x:c r="J168" s="18" t="str">
        <x:v>Easy</x:v>
      </x:c>
      <x:c r="K168" s="18" t="str">
        <x:v>Medium</x:v>
      </x:c>
      <x:c r="L168" s="18" t="str">
        <x:v>Ads / EdTech</x:v>
      </x:c>
      <x:c r="M168" s="18" t="str">
        <x:v>Valid calculator, higher competition</x:v>
      </x:c>
    </x:row>
    <x:row r="169">
      <x:c r="A169" s="14" t="n">
        <x:v>168</x:v>
      </x:c>
      <x:c r="B169" s="18" t="str">
        <x:v>calculator inches to feet</x:v>
      </x:c>
      <x:c r="C169" s="18" t="str">
        <x:v>Conversions &amp; Units</x:v>
      </x:c>
      <x:c r="D169" s="32" t="n">
        <x:v>210</x:v>
      </x:c>
      <x:c r="E169" s="18" t="n">
        <x:v>52</x:v>
      </x:c>
      <x:c r="F169" s="34" t="n">
        <x:v>0</x:v>
      </x:c>
      <x:c r="G169" s="18" t="str">
        <x:v>Yes</x:v>
      </x:c>
      <x:c r="H169" s="18" t="str">
        <x:v>Inches To Feet calculator</x:v>
      </x:c>
      <x:c r="I169" s="18" t="n">
        <x:v>1</x:v>
      </x:c>
      <x:c r="J169" s="18" t="str">
        <x:v>Easy</x:v>
      </x:c>
      <x:c r="K169" s="18" t="str">
        <x:v>Medium</x:v>
      </x:c>
      <x:c r="L169" s="18" t="str">
        <x:v>Ads</x:v>
      </x:c>
      <x:c r="M169" s="18" t="str">
        <x:v>Valid calculator, higher competition</x:v>
      </x:c>
    </x:row>
    <x:row r="170">
      <x:c r="A170" s="14" t="n">
        <x:v>169</x:v>
      </x:c>
      <x:c r="B170" s="18" t="str">
        <x:v>calculator z score</x:v>
      </x:c>
      <x:c r="C170" s="18" t="str">
        <x:v>Math &amp; Education</x:v>
      </x:c>
      <x:c r="D170" s="32" t="n">
        <x:v>40</x:v>
      </x:c>
      <x:c r="E170" s="18" t="n">
        <x:v>52</x:v>
      </x:c>
      <x:c r="F170" s="34" t="n">
        <x:v>0</x:v>
      </x:c>
      <x:c r="G170" s="18" t="str">
        <x:v>Yes</x:v>
      </x:c>
      <x:c r="H170" s="18" t="str">
        <x:v>Z Score calculator</x:v>
      </x:c>
      <x:c r="I170" s="18" t="n">
        <x:v>1</x:v>
      </x:c>
      <x:c r="J170" s="18" t="str">
        <x:v>Easy</x:v>
      </x:c>
      <x:c r="K170" s="18" t="str">
        <x:v>Medium</x:v>
      </x:c>
      <x:c r="L170" s="18" t="str">
        <x:v>Ads / EdTech</x:v>
      </x:c>
      <x:c r="M170" s="18" t="str">
        <x:v>Valid calculator, higher competition</x:v>
      </x:c>
    </x:row>
    <x:row r="171">
      <x:c r="A171" s="14" t="n">
        <x:v>170</x:v>
      </x:c>
      <x:c r="B171" s="18" t="str">
        <x:v>calculator birthday</x:v>
      </x:c>
      <x:c r="C171" s="18" t="str">
        <x:v>Pregnancy &amp; Family</x:v>
      </x:c>
      <x:c r="D171" s="32" t="n">
        <x:v>33100</x:v>
      </x:c>
      <x:c r="E171" s="18" t="n">
        <x:v>53</x:v>
      </x:c>
      <x:c r="F171" s="34" t="n">
        <x:v>0.33</x:v>
      </x:c>
      <x:c r="G171" s="18" t="str">
        <x:v>Yes</x:v>
      </x:c>
      <x:c r="H171" s="18" t="str">
        <x:v>Birthday calculator</x:v>
      </x:c>
      <x:c r="I171" s="18" t="n">
        <x:v>1</x:v>
      </x:c>
      <x:c r="J171" s="18" t="str">
        <x:v>Easy</x:v>
      </x:c>
      <x:c r="K171" s="18" t="str">
        <x:v>Medium</x:v>
      </x:c>
      <x:c r="L171" s="18" t="str">
        <x:v>Ads / Affiliate</x:v>
      </x:c>
      <x:c r="M171" s="18" t="str">
        <x:v>Valid calculator, higher competition</x:v>
      </x:c>
    </x:row>
    <x:row r="172">
      <x:c r="A172" s="14" t="n">
        <x:v>171</x:v>
      </x:c>
      <x:c r="B172" s="18" t="str">
        <x:v>calculator net</x:v>
      </x:c>
      <x:c r="C172" s="18" t="str">
        <x:v>General / Other</x:v>
      </x:c>
      <x:c r="D172" s="32" t="n">
        <x:v>33100</x:v>
      </x:c>
      <x:c r="E172" s="18" t="n">
        <x:v>53</x:v>
      </x:c>
      <x:c r="F172" s="34" t="n">
        <x:v>2.53</x:v>
      </x:c>
      <x:c r="G172" s="18" t="str">
        <x:v>Maybe</x:v>
      </x:c>
      <x:c r="H172" s="18" t="str">
        <x:v>Net calculator</x:v>
      </x:c>
      <x:c r="I172" s="18" t="n">
        <x:v>1</x:v>
      </x:c>
      <x:c r="J172" s="18" t="str">
        <x:v>Easy</x:v>
      </x:c>
      <x:c r="K172" s="18" t="str">
        <x:v>Medium</x:v>
      </x:c>
      <x:c r="L172" s="18" t="str">
        <x:v>Ads</x:v>
      </x:c>
      <x:c r="M172" s="18" t="str">
        <x:v>Valid calculator, higher competition</x:v>
      </x:c>
    </x:row>
    <x:row r="173">
      <x:c r="A173" s="14" t="n">
        <x:v>172</x:v>
      </x:c>
      <x:c r="B173" s="18" t="str">
        <x:v>calculator hourly pay</x:v>
      </x:c>
      <x:c r="C173" s="18" t="str">
        <x:v>Salary, Payroll &amp; Tax</x:v>
      </x:c>
      <x:c r="D173" s="32" t="n">
        <x:v>12100</x:v>
      </x:c>
      <x:c r="E173" s="18" t="n">
        <x:v>53</x:v>
      </x:c>
      <x:c r="F173" s="34" t="n">
        <x:v>2.89</x:v>
      </x:c>
      <x:c r="G173" s="18" t="str">
        <x:v>Yes</x:v>
      </x:c>
      <x:c r="H173" s="18" t="str">
        <x:v>Hourly Pay calculator</x:v>
      </x:c>
      <x:c r="I173" s="18" t="n">
        <x:v>1</x:v>
      </x:c>
      <x:c r="J173" s="18" t="str">
        <x:v>Easy</x:v>
      </x:c>
      <x:c r="K173" s="18" t="str">
        <x:v>High</x:v>
      </x:c>
      <x:c r="L173" s="18" t="str">
        <x:v>Ads / SaaS leads</x:v>
      </x:c>
      <x:c r="M173" s="18" t="str">
        <x:v>Valid calculator, higher competition</x:v>
      </x:c>
    </x:row>
    <x:row r="174">
      <x:c r="A174" s="14" t="n">
        <x:v>173</x:v>
      </x:c>
      <x:c r="B174" s="18" t="str">
        <x:v>calculator usd to inr</x:v>
      </x:c>
      <x:c r="C174" s="18" t="str">
        <x:v>Conversions &amp; Units</x:v>
      </x:c>
      <x:c r="D174" s="32" t="n">
        <x:v>5400</x:v>
      </x:c>
      <x:c r="E174" s="18" t="n">
        <x:v>53</x:v>
      </x:c>
      <x:c r="F174" s="34" t="n">
        <x:v>0.57</x:v>
      </x:c>
      <x:c r="G174" s="18" t="str">
        <x:v>Yes</x:v>
      </x:c>
      <x:c r="H174" s="18" t="str">
        <x:v>Usd To Inr calculator</x:v>
      </x:c>
      <x:c r="I174" s="18" t="n">
        <x:v>1</x:v>
      </x:c>
      <x:c r="J174" s="18" t="str">
        <x:v>Easy</x:v>
      </x:c>
      <x:c r="K174" s="18" t="str">
        <x:v>Low</x:v>
      </x:c>
      <x:c r="L174" s="18" t="str">
        <x:v>Ads</x:v>
      </x:c>
      <x:c r="M174" s="18" t="str">
        <x:v>Valid calculator, higher competition</x:v>
      </x:c>
    </x:row>
    <x:row r="175">
      <x:c r="A175" s="14" t="n">
        <x:v>174</x:v>
      </x:c>
      <x:c r="B175" s="18" t="str">
        <x:v>calculator soup hours</x:v>
      </x:c>
      <x:c r="C175" s="18" t="str">
        <x:v>Date &amp; Time</x:v>
      </x:c>
      <x:c r="D175" s="32" t="n">
        <x:v>2400</x:v>
      </x:c>
      <x:c r="E175" s="18" t="n">
        <x:v>53</x:v>
      </x:c>
      <x:c r="F175" s="34" t="n">
        <x:v>0</x:v>
      </x:c>
      <x:c r="G175" s="18" t="str">
        <x:v>Yes</x:v>
      </x:c>
      <x:c r="H175" s="18" t="str">
        <x:v>Soup Hours calculator</x:v>
      </x:c>
      <x:c r="I175" s="18" t="n">
        <x:v>1</x:v>
      </x:c>
      <x:c r="J175" s="18" t="str">
        <x:v>Easy</x:v>
      </x:c>
      <x:c r="K175" s="18" t="str">
        <x:v>Medium</x:v>
      </x:c>
      <x:c r="L175" s="18" t="str">
        <x:v>Ads</x:v>
      </x:c>
      <x:c r="M175" s="18" t="str">
        <x:v>Valid calculator, higher competition</x:v>
      </x:c>
    </x:row>
    <x:row r="176">
      <x:c r="A176" s="14" t="n">
        <x:v>175</x:v>
      </x:c>
      <x:c r="B176" s="18" t="str">
        <x:v>calculator age</x:v>
      </x:c>
      <x:c r="C176" s="18" t="str">
        <x:v>Date &amp; Time</x:v>
      </x:c>
      <x:c r="D176" s="32" t="n">
        <x:v>1300</x:v>
      </x:c>
      <x:c r="E176" s="18" t="n">
        <x:v>53</x:v>
      </x:c>
      <x:c r="F176" s="34" t="n">
        <x:v>1.56</x:v>
      </x:c>
      <x:c r="G176" s="18" t="str">
        <x:v>Yes</x:v>
      </x:c>
      <x:c r="H176" s="18" t="str">
        <x:v>Age calculator</x:v>
      </x:c>
      <x:c r="I176" s="18" t="n">
        <x:v>1</x:v>
      </x:c>
      <x:c r="J176" s="18" t="str">
        <x:v>Easy</x:v>
      </x:c>
      <x:c r="K176" s="18" t="str">
        <x:v>Medium</x:v>
      </x:c>
      <x:c r="L176" s="18" t="str">
        <x:v>Ads</x:v>
      </x:c>
      <x:c r="M176" s="18" t="str">
        <x:v>Valid calculator, higher competition</x:v>
      </x:c>
    </x:row>
    <x:row r="177">
      <x:c r="A177" s="14" t="n">
        <x:v>176</x:v>
      </x:c>
      <x:c r="B177" s="18" t="str">
        <x:v>calculator de horas</x:v>
      </x:c>
      <x:c r="C177" s="18" t="str">
        <x:v>General / Other</x:v>
      </x:c>
      <x:c r="D177" s="32" t="n">
        <x:v>260</x:v>
      </x:c>
      <x:c r="E177" s="18" t="n">
        <x:v>53</x:v>
      </x:c>
      <x:c r="F177" s="34" t="n">
        <x:v>0</x:v>
      </x:c>
      <x:c r="G177" s="18" t="str">
        <x:v>Maybe</x:v>
      </x:c>
      <x:c r="H177" s="18" t="str">
        <x:v>De Horas calculator</x:v>
      </x:c>
      <x:c r="I177" s="18" t="n">
        <x:v>1</x:v>
      </x:c>
      <x:c r="J177" s="18" t="str">
        <x:v>Easy</x:v>
      </x:c>
      <x:c r="K177" s="18" t="str">
        <x:v>Medium</x:v>
      </x:c>
      <x:c r="L177" s="18" t="str">
        <x:v>Ads</x:v>
      </x:c>
      <x:c r="M177" s="18" t="str">
        <x:v>Valid calculator, higher competition</x:v>
      </x:c>
    </x:row>
    <x:row r="178">
      <x:c r="A178" s="14" t="n">
        <x:v>177</x:v>
      </x:c>
      <x:c r="B178" s="18" t="str">
        <x:v>calculator duration</x:v>
      </x:c>
      <x:c r="C178" s="18" t="str">
        <x:v>Date &amp; Time</x:v>
      </x:c>
      <x:c r="D178" s="32" t="n">
        <x:v>18100</x:v>
      </x:c>
      <x:c r="E178" s="18" t="n">
        <x:v>54</x:v>
      </x:c>
      <x:c r="F178" s="34" t="n">
        <x:v>0</x:v>
      </x:c>
      <x:c r="G178" s="18" t="str">
        <x:v>Yes</x:v>
      </x:c>
      <x:c r="H178" s="18" t="str">
        <x:v>Duration calculator</x:v>
      </x:c>
      <x:c r="I178" s="18" t="n">
        <x:v>1</x:v>
      </x:c>
      <x:c r="J178" s="18" t="str">
        <x:v>Easy</x:v>
      </x:c>
      <x:c r="K178" s="18" t="str">
        <x:v>Medium</x:v>
      </x:c>
      <x:c r="L178" s="18" t="str">
        <x:v>Ads</x:v>
      </x:c>
      <x:c r="M178" s="18" t="str">
        <x:v>Valid calculator, higher competition</x:v>
      </x:c>
    </x:row>
    <x:row r="179">
      <x:c r="A179" s="14" t="n">
        <x:v>178</x:v>
      </x:c>
      <x:c r="B179" s="18" t="str">
        <x:v>calculator used car loan</x:v>
      </x:c>
      <x:c r="C179" s="18" t="str">
        <x:v>Loans &amp; Auto Finance</x:v>
      </x:c>
      <x:c r="D179" s="32" t="n">
        <x:v>12100</x:v>
      </x:c>
      <x:c r="E179" s="18" t="n">
        <x:v>54</x:v>
      </x:c>
      <x:c r="F179" s="34" t="n">
        <x:v>0.79</x:v>
      </x:c>
      <x:c r="G179" s="18" t="str">
        <x:v>Yes</x:v>
      </x:c>
      <x:c r="H179" s="18" t="str">
        <x:v>Car loan/payment calculator</x:v>
      </x:c>
      <x:c r="I179" s="18" t="n">
        <x:v>6</x:v>
      </x:c>
      <x:c r="J179" s="18" t="str">
        <x:v>Medium</x:v>
      </x:c>
      <x:c r="K179" s="18" t="str">
        <x:v>High</x:v>
      </x:c>
      <x:c r="L179" s="18" t="str">
        <x:v>Leads / Ads / Affiliate</x:v>
      </x:c>
      <x:c r="M179" s="18" t="str">
        <x:v>Valid calculator, higher competition</x:v>
      </x:c>
    </x:row>
    <x:row r="180">
      <x:c r="A180" s="14" t="n">
        <x:v>179</x:v>
      </x:c>
      <x:c r="B180" s="18" t="str">
        <x:v>calculator hours</x:v>
      </x:c>
      <x:c r="C180" s="18" t="str">
        <x:v>Date &amp; Time</x:v>
      </x:c>
      <x:c r="D180" s="32" t="n">
        <x:v>8100</x:v>
      </x:c>
      <x:c r="E180" s="18" t="n">
        <x:v>54</x:v>
      </x:c>
      <x:c r="F180" s="34" t="n">
        <x:v>6.25</x:v>
      </x:c>
      <x:c r="G180" s="18" t="str">
        <x:v>Yes</x:v>
      </x:c>
      <x:c r="H180" s="18" t="str">
        <x:v>Hours calculator</x:v>
      </x:c>
      <x:c r="I180" s="18" t="n">
        <x:v>1</x:v>
      </x:c>
      <x:c r="J180" s="18" t="str">
        <x:v>Easy</x:v>
      </x:c>
      <x:c r="K180" s="18" t="str">
        <x:v>Medium</x:v>
      </x:c>
      <x:c r="L180" s="18" t="str">
        <x:v>Ads</x:v>
      </x:c>
      <x:c r="M180" s="18" t="str">
        <x:v>Valid calculator, higher competition</x:v>
      </x:c>
    </x:row>
    <x:row r="181">
      <x:c r="A181" s="14" t="n">
        <x:v>180</x:v>
      </x:c>
      <x:c r="B181" s="18" t="str">
        <x:v>calculator soup time card</x:v>
      </x:c>
      <x:c r="C181" s="18" t="str">
        <x:v>Salary, Payroll &amp; Tax</x:v>
      </x:c>
      <x:c r="D181" s="32" t="n">
        <x:v>5400</x:v>
      </x:c>
      <x:c r="E181" s="18" t="n">
        <x:v>54</x:v>
      </x:c>
      <x:c r="F181" s="34" t="n">
        <x:v>5.86</x:v>
      </x:c>
      <x:c r="G181" s="18" t="str">
        <x:v>Yes</x:v>
      </x:c>
      <x:c r="H181" s="18" t="str">
        <x:v>Time card/work hours calculator</x:v>
      </x:c>
      <x:c r="I181" s="18" t="n">
        <x:v>4</x:v>
      </x:c>
      <x:c r="J181" s="18" t="str">
        <x:v>Easy</x:v>
      </x:c>
      <x:c r="K181" s="18" t="str">
        <x:v>High</x:v>
      </x:c>
      <x:c r="L181" s="18" t="str">
        <x:v>Ads / SaaS leads</x:v>
      </x:c>
      <x:c r="M181" s="18" t="str">
        <x:v>Valid calculator, higher competition</x:v>
      </x:c>
    </x:row>
    <x:row r="182">
      <x:c r="A182" s="14" t="n">
        <x:v>181</x:v>
      </x:c>
      <x:c r="B182" s="18" t="str">
        <x:v>calculator lb to kg</x:v>
      </x:c>
      <x:c r="C182" s="18" t="str">
        <x:v>Conversions &amp; Units</x:v>
      </x:c>
      <x:c r="D182" s="32" t="n">
        <x:v>4400</x:v>
      </x:c>
      <x:c r="E182" s="18" t="n">
        <x:v>54</x:v>
      </x:c>
      <x:c r="F182" s="34" t="n">
        <x:v>0.44</x:v>
      </x:c>
      <x:c r="G182" s="18" t="str">
        <x:v>Yes</x:v>
      </x:c>
      <x:c r="H182" s="18" t="str">
        <x:v>Weight unit converter</x:v>
      </x:c>
      <x:c r="I182" s="18" t="n">
        <x:v>2</x:v>
      </x:c>
      <x:c r="J182" s="18" t="str">
        <x:v>Easy</x:v>
      </x:c>
      <x:c r="K182" s="18" t="str">
        <x:v>Medium</x:v>
      </x:c>
      <x:c r="L182" s="18" t="str">
        <x:v>Ads</x:v>
      </x:c>
      <x:c r="M182" s="18" t="str">
        <x:v>Valid calculator, higher competition</x:v>
      </x:c>
    </x:row>
    <x:row r="183">
      <x:c r="A183" s="14" t="n">
        <x:v>182</x:v>
      </x:c>
      <x:c r="B183" s="18" t="str">
        <x:v>calculator salary</x:v>
      </x:c>
      <x:c r="C183" s="18" t="str">
        <x:v>Salary, Payroll &amp; Tax</x:v>
      </x:c>
      <x:c r="D183" s="32" t="n">
        <x:v>246000</x:v>
      </x:c>
      <x:c r="E183" s="18" t="n">
        <x:v>55</x:v>
      </x:c>
      <x:c r="F183" s="34" t="n">
        <x:v>3.11</x:v>
      </x:c>
      <x:c r="G183" s="18" t="str">
        <x:v>Yes</x:v>
      </x:c>
      <x:c r="H183" s="18" t="str">
        <x:v>Salary calculator</x:v>
      </x:c>
      <x:c r="I183" s="18" t="n">
        <x:v>1</x:v>
      </x:c>
      <x:c r="J183" s="18" t="str">
        <x:v>Medium</x:v>
      </x:c>
      <x:c r="K183" s="18" t="str">
        <x:v>High</x:v>
      </x:c>
      <x:c r="L183" s="18" t="str">
        <x:v>Ads / SaaS leads</x:v>
      </x:c>
      <x:c r="M183" s="18" t="str">
        <x:v>Valid calculator, higher competition</x:v>
      </x:c>
    </x:row>
    <x:row r="184">
      <x:c r="A184" s="14" t="n">
        <x:v>183</x:v>
      </x:c>
      <x:c r="B184" s="18" t="str">
        <x:v>calculator 401k withdrawal</x:v>
      </x:c>
      <x:c r="C184" s="18" t="str">
        <x:v>Personal Finance &amp; Investing</x:v>
      </x:c>
      <x:c r="D184" s="32" t="n">
        <x:v>12100</x:v>
      </x:c>
      <x:c r="E184" s="18" t="n">
        <x:v>55</x:v>
      </x:c>
      <x:c r="F184" s="34" t="n">
        <x:v>2.04</x:v>
      </x:c>
      <x:c r="G184" s="18" t="str">
        <x:v>Yes</x:v>
      </x:c>
      <x:c r="H184" s="18" t="str">
        <x:v>401K Withdrawal calculator</x:v>
      </x:c>
      <x:c r="I184" s="18" t="n">
        <x:v>1</x:v>
      </x:c>
      <x:c r="J184" s="18" t="str">
        <x:v>Complex</x:v>
      </x:c>
      <x:c r="K184" s="18" t="str">
        <x:v>High</x:v>
      </x:c>
      <x:c r="L184" s="18" t="str">
        <x:v>Ads / Leads / Affiliate</x:v>
      </x:c>
      <x:c r="M184" s="18" t="str">
        <x:v>Valid calculator, higher competition</x:v>
      </x:c>
    </x:row>
    <x:row r="185">
      <x:c r="A185" s="14" t="n">
        <x:v>184</x:v>
      </x:c>
      <x:c r="B185" s="18" t="str">
        <x:v>calculator unit converter</x:v>
      </x:c>
      <x:c r="C185" s="18" t="str">
        <x:v>Conversions &amp; Units</x:v>
      </x:c>
      <x:c r="D185" s="32" t="n">
        <x:v>140</x:v>
      </x:c>
      <x:c r="E185" s="18" t="n">
        <x:v>55</x:v>
      </x:c>
      <x:c r="F185" s="34" t="n">
        <x:v>0</x:v>
      </x:c>
      <x:c r="G185" s="18" t="str">
        <x:v>Yes</x:v>
      </x:c>
      <x:c r="H185" s="18" t="str">
        <x:v>Unit Converter</x:v>
      </x:c>
      <x:c r="I185" s="18" t="n">
        <x:v>1</x:v>
      </x:c>
      <x:c r="J185" s="18" t="str">
        <x:v>Easy</x:v>
      </x:c>
      <x:c r="K185" s="18" t="str">
        <x:v>Medium</x:v>
      </x:c>
      <x:c r="L185" s="18" t="str">
        <x:v>Ads</x:v>
      </x:c>
      <x:c r="M185" s="18" t="str">
        <x:v>Valid calculator, higher competition</x:v>
      </x:c>
    </x:row>
    <x:row r="186">
      <x:c r="A186" s="14" t="n">
        <x:v>185</x:v>
      </x:c>
      <x:c r="B186" s="18" t="str">
        <x:v>calculator soup work hours</x:v>
      </x:c>
      <x:c r="C186" s="18" t="str">
        <x:v>Salary, Payroll &amp; Tax</x:v>
      </x:c>
      <x:c r="D186" s="32" t="n">
        <x:v>2900</x:v>
      </x:c>
      <x:c r="E186" s="18" t="n">
        <x:v>56</x:v>
      </x:c>
      <x:c r="F186" s="34" t="n">
        <x:v>8.71</x:v>
      </x:c>
      <x:c r="G186" s="18" t="str">
        <x:v>Yes</x:v>
      </x:c>
      <x:c r="H186" s="18" t="str">
        <x:v>Time card/work hours calculator</x:v>
      </x:c>
      <x:c r="I186" s="18" t="n">
        <x:v>4</x:v>
      </x:c>
      <x:c r="J186" s="18" t="str">
        <x:v>Easy</x:v>
      </x:c>
      <x:c r="K186" s="18" t="str">
        <x:v>High</x:v>
      </x:c>
      <x:c r="L186" s="18" t="str">
        <x:v>Ads / SaaS leads</x:v>
      </x:c>
      <x:c r="M186" s="18" t="str">
        <x:v>Valid calculator, higher competition</x:v>
      </x:c>
    </x:row>
    <x:row r="187">
      <x:c r="A187" s="14" t="n">
        <x:v>186</x:v>
      </x:c>
      <x:c r="B187" s="18" t="str">
        <x:v>calculator hourly to salary</x:v>
      </x:c>
      <x:c r="C187" s="18" t="str">
        <x:v>Salary, Payroll &amp; Tax</x:v>
      </x:c>
      <x:c r="D187" s="32" t="n">
        <x:v>1600</x:v>
      </x:c>
      <x:c r="E187" s="18" t="n">
        <x:v>56</x:v>
      </x:c>
      <x:c r="F187" s="34" t="n">
        <x:v>1.53</x:v>
      </x:c>
      <x:c r="G187" s="18" t="str">
        <x:v>Yes</x:v>
      </x:c>
      <x:c r="H187" s="18" t="str">
        <x:v>Hourly To Salary calculator</x:v>
      </x:c>
      <x:c r="I187" s="18" t="n">
        <x:v>1</x:v>
      </x:c>
      <x:c r="J187" s="18" t="str">
        <x:v>Medium</x:v>
      </x:c>
      <x:c r="K187" s="18" t="str">
        <x:v>High</x:v>
      </x:c>
      <x:c r="L187" s="18" t="str">
        <x:v>Ads / SaaS leads</x:v>
      </x:c>
      <x:c r="M187" s="18" t="str">
        <x:v>Valid calculator, higher competition</x:v>
      </x:c>
    </x:row>
    <x:row r="188">
      <x:c r="A188" s="14" t="n">
        <x:v>187</x:v>
      </x:c>
      <x:c r="B188" s="18" t="str">
        <x:v>calculator 20 percent</x:v>
      </x:c>
      <x:c r="C188" s="18" t="str">
        <x:v>Math &amp; Education</x:v>
      </x:c>
      <x:c r="D188" s="32" t="n">
        <x:v>210</x:v>
      </x:c>
      <x:c r="E188" s="18" t="n">
        <x:v>56</x:v>
      </x:c>
      <x:c r="F188" s="34" t="n">
        <x:v>0</x:v>
      </x:c>
      <x:c r="G188" s="18" t="str">
        <x:v>Yes</x:v>
      </x:c>
      <x:c r="H188" s="18" t="str">
        <x:v>20 Percent calculator</x:v>
      </x:c>
      <x:c r="I188" s="18" t="n">
        <x:v>1</x:v>
      </x:c>
      <x:c r="J188" s="18" t="str">
        <x:v>Easy</x:v>
      </x:c>
      <x:c r="K188" s="18" t="str">
        <x:v>Medium</x:v>
      </x:c>
      <x:c r="L188" s="18" t="str">
        <x:v>Ads / EdTech</x:v>
      </x:c>
      <x:c r="M188" s="18" t="str">
        <x:v>Valid calculator, higher competition</x:v>
      </x:c>
    </x:row>
    <x:row r="189">
      <x:c r="A189" s="14" t="n">
        <x:v>188</x:v>
      </x:c>
      <x:c r="B189" s="18" t="str">
        <x:v>calculator volume</x:v>
      </x:c>
      <x:c r="C189" s="18" t="str">
        <x:v>Math &amp; Education</x:v>
      </x:c>
      <x:c r="D189" s="32" t="n">
        <x:v>110</x:v>
      </x:c>
      <x:c r="E189" s="18" t="n">
        <x:v>56</x:v>
      </x:c>
      <x:c r="F189" s="34" t="n">
        <x:v>0</x:v>
      </x:c>
      <x:c r="G189" s="18" t="str">
        <x:v>Yes</x:v>
      </x:c>
      <x:c r="H189" s="18" t="str">
        <x:v>Volume calculator</x:v>
      </x:c>
      <x:c r="I189" s="18" t="n">
        <x:v>1</x:v>
      </x:c>
      <x:c r="J189" s="18" t="str">
        <x:v>Easy</x:v>
      </x:c>
      <x:c r="K189" s="18" t="str">
        <x:v>Medium</x:v>
      </x:c>
      <x:c r="L189" s="18" t="str">
        <x:v>Ads / EdTech</x:v>
      </x:c>
      <x:c r="M189" s="18" t="str">
        <x:v>Valid calculator, higher competition</x:v>
      </x:c>
    </x:row>
    <x:row r="190">
      <x:c r="A190" s="14" t="n">
        <x:v>189</x:v>
      </x:c>
      <x:c r="B190" s="18" t="str">
        <x:v>calculator 50 30 20</x:v>
      </x:c>
      <x:c r="C190" s="18" t="str">
        <x:v>General / Other</x:v>
      </x:c>
      <x:c r="D190" s="32" t="n">
        <x:v>20</x:v>
      </x:c>
      <x:c r="E190" s="18" t="n">
        <x:v>56</x:v>
      </x:c>
      <x:c r="F190" s="34" t="n">
        <x:v>0</x:v>
      </x:c>
      <x:c r="G190" s="18" t="str">
        <x:v>Yes</x:v>
      </x:c>
      <x:c r="H190" s="18" t="str">
        <x:v>50 30 20 calculator</x:v>
      </x:c>
      <x:c r="I190" s="18" t="n">
        <x:v>1</x:v>
      </x:c>
      <x:c r="J190" s="18" t="str">
        <x:v>Easy</x:v>
      </x:c>
      <x:c r="K190" s="18" t="str">
        <x:v>Medium</x:v>
      </x:c>
      <x:c r="L190" s="18" t="str">
        <x:v>Ads</x:v>
      </x:c>
      <x:c r="M190" s="18" t="str">
        <x:v>Valid calculator, higher competition</x:v>
      </x:c>
    </x:row>
    <x:row r="191">
      <x:c r="A191" s="14" t="n">
        <x:v>190</x:v>
      </x:c>
      <x:c r="B191" s="18" t="str">
        <x:v>calculator time</x:v>
      </x:c>
      <x:c r="C191" s="18" t="str">
        <x:v>General / Other</x:v>
      </x:c>
      <x:c r="D191" s="32" t="n">
        <x:v>3600</x:v>
      </x:c>
      <x:c r="E191" s="18" t="n">
        <x:v>57</x:v>
      </x:c>
      <x:c r="F191" s="34" t="n">
        <x:v>1.47</x:v>
      </x:c>
      <x:c r="G191" s="18" t="str">
        <x:v>Maybe</x:v>
      </x:c>
      <x:c r="H191" s="18" t="str">
        <x:v>Time calculator</x:v>
      </x:c>
      <x:c r="I191" s="18" t="n">
        <x:v>1</x:v>
      </x:c>
      <x:c r="J191" s="18" t="str">
        <x:v>Easy</x:v>
      </x:c>
      <x:c r="K191" s="18" t="str">
        <x:v>Medium</x:v>
      </x:c>
      <x:c r="L191" s="18" t="str">
        <x:v>Ads</x:v>
      </x:c>
      <x:c r="M191" s="18" t="str">
        <x:v>Valid calculator, higher competition</x:v>
      </x:c>
    </x:row>
    <x:row r="192">
      <x:c r="A192" s="14" t="n">
        <x:v>191</x:v>
      </x:c>
      <x:c r="B192" s="18" t="str">
        <x:v>calculator tip</x:v>
      </x:c>
      <x:c r="C192" s="18" t="str">
        <x:v>General / Other</x:v>
      </x:c>
      <x:c r="D192" s="32" t="n">
        <x:v>3600</x:v>
      </x:c>
      <x:c r="E192" s="18" t="n">
        <x:v>57</x:v>
      </x:c>
      <x:c r="F192" s="34" t="n">
        <x:v>0.5</x:v>
      </x:c>
      <x:c r="G192" s="18" t="str">
        <x:v>Yes</x:v>
      </x:c>
      <x:c r="H192" s="18" t="str">
        <x:v>Tip calculator</x:v>
      </x:c>
      <x:c r="I192" s="18" t="n">
        <x:v>1</x:v>
      </x:c>
      <x:c r="J192" s="18" t="str">
        <x:v>Easy</x:v>
      </x:c>
      <x:c r="K192" s="18" t="str">
        <x:v>Medium</x:v>
      </x:c>
      <x:c r="L192" s="18" t="str">
        <x:v>Ads</x:v>
      </x:c>
      <x:c r="M192" s="18" t="str">
        <x:v>Valid calculator, higher competition</x:v>
      </x:c>
    </x:row>
    <x:row r="193">
      <x:c r="A193" s="14" t="n">
        <x:v>192</x:v>
      </x:c>
      <x:c r="B193" s="18" t="str">
        <x:v>calculator love by name</x:v>
      </x:c>
      <x:c r="C193" s="18" t="str">
        <x:v>Lifestyle &amp; Entertainment</x:v>
      </x:c>
      <x:c r="D193" s="32" t="n">
        <x:v>2400</x:v>
      </x:c>
      <x:c r="E193" s="18" t="n">
        <x:v>57</x:v>
      </x:c>
      <x:c r="F193" s="34" t="n">
        <x:v>2.66</x:v>
      </x:c>
      <x:c r="G193" s="18" t="str">
        <x:v>Yes</x:v>
      </x:c>
      <x:c r="H193" s="18" t="str">
        <x:v>Love By Name calculator</x:v>
      </x:c>
      <x:c r="I193" s="18" t="n">
        <x:v>1</x:v>
      </x:c>
      <x:c r="J193" s="18" t="str">
        <x:v>Easy</x:v>
      </x:c>
      <x:c r="K193" s="18" t="str">
        <x:v>Medium</x:v>
      </x:c>
      <x:c r="L193" s="18" t="str">
        <x:v>Ads</x:v>
      </x:c>
      <x:c r="M193" s="18" t="str">
        <x:v>Valid calculator, higher competition</x:v>
      </x:c>
    </x:row>
    <x:row r="194">
      <x:c r="A194" s="14" t="n">
        <x:v>193</x:v>
      </x:c>
      <x:c r="B194" s="18" t="str">
        <x:v>calculator loan</x:v>
      </x:c>
      <x:c r="C194" s="18" t="str">
        <x:v>Loans &amp; Auto Finance</x:v>
      </x:c>
      <x:c r="D194" s="32" t="n">
        <x:v>1000</x:v>
      </x:c>
      <x:c r="E194" s="18" t="n">
        <x:v>57</x:v>
      </x:c>
      <x:c r="F194" s="34" t="n">
        <x:v>2</x:v>
      </x:c>
      <x:c r="G194" s="18" t="str">
        <x:v>Yes</x:v>
      </x:c>
      <x:c r="H194" s="18" t="str">
        <x:v>Loan calculator</x:v>
      </x:c>
      <x:c r="I194" s="18" t="n">
        <x:v>1</x:v>
      </x:c>
      <x:c r="J194" s="18" t="str">
        <x:v>Medium</x:v>
      </x:c>
      <x:c r="K194" s="18" t="str">
        <x:v>High</x:v>
      </x:c>
      <x:c r="L194" s="18" t="str">
        <x:v>Leads / Ads / Affiliate</x:v>
      </x:c>
      <x:c r="M194" s="18" t="str">
        <x:v>Valid calculator, higher competition</x:v>
      </x:c>
    </x:row>
    <x:row r="195">
      <x:c r="A195" s="14" t="n">
        <x:v>194</x:v>
      </x:c>
      <x:c r="B195" s="18" t="str">
        <x:v>calculator mortgage payment</x:v>
      </x:c>
      <x:c r="C195" s="18" t="str">
        <x:v>Mortgage &amp; Real Estate</x:v>
      </x:c>
      <x:c r="D195" s="32" t="n">
        <x:v>880</x:v>
      </x:c>
      <x:c r="E195" s="18" t="n">
        <x:v>57</x:v>
      </x:c>
      <x:c r="F195" s="34" t="n">
        <x:v>2.07</x:v>
      </x:c>
      <x:c r="G195" s="18" t="str">
        <x:v>Yes</x:v>
      </x:c>
      <x:c r="H195" s="18" t="str">
        <x:v>Mortgage payment calculator</x:v>
      </x:c>
      <x:c r="I195" s="18" t="n">
        <x:v>7</x:v>
      </x:c>
      <x:c r="J195" s="18" t="str">
        <x:v>Medium</x:v>
      </x:c>
      <x:c r="K195" s="18" t="str">
        <x:v>High</x:v>
      </x:c>
      <x:c r="L195" s="18" t="str">
        <x:v>Leads / Ads / Affiliate</x:v>
      </x:c>
      <x:c r="M195" s="18" t="str">
        <x:v>Valid calculator, higher competition</x:v>
      </x:c>
    </x:row>
    <x:row r="196">
      <x:c r="A196" s="14" t="n">
        <x:v>195</x:v>
      </x:c>
      <x:c r="B196" s="18" t="str">
        <x:v>calculator tax</x:v>
      </x:c>
      <x:c r="C196" s="18" t="str">
        <x:v>Salary, Payroll &amp; Tax</x:v>
      </x:c>
      <x:c r="D196" s="32" t="n">
        <x:v>590</x:v>
      </x:c>
      <x:c r="E196" s="18" t="n">
        <x:v>57</x:v>
      </x:c>
      <x:c r="F196" s="34" t="n">
        <x:v>3.59</x:v>
      </x:c>
      <x:c r="G196" s="18" t="str">
        <x:v>Yes</x:v>
      </x:c>
      <x:c r="H196" s="18" t="str">
        <x:v>Tax calculator</x:v>
      </x:c>
      <x:c r="I196" s="18" t="n">
        <x:v>1</x:v>
      </x:c>
      <x:c r="J196" s="18" t="str">
        <x:v>Complex</x:v>
      </x:c>
      <x:c r="K196" s="18" t="str">
        <x:v>High</x:v>
      </x:c>
      <x:c r="L196" s="18" t="str">
        <x:v>Ads / SaaS leads</x:v>
      </x:c>
      <x:c r="M196" s="18" t="str">
        <x:v>Valid calculator, higher competition</x:v>
      </x:c>
    </x:row>
    <x:row r="197">
      <x:c r="A197" s="14" t="n">
        <x:v>196</x:v>
      </x:c>
      <x:c r="B197" s="18" t="str">
        <x:v>calculator gpa</x:v>
      </x:c>
      <x:c r="C197" s="18" t="str">
        <x:v>Math &amp; Education</x:v>
      </x:c>
      <x:c r="D197" s="32" t="n">
        <x:v>823000</x:v>
      </x:c>
      <x:c r="E197" s="18" t="n">
        <x:v>58</x:v>
      </x:c>
      <x:c r="F197" s="34" t="n">
        <x:v>4.54</x:v>
      </x:c>
      <x:c r="G197" s="18" t="str">
        <x:v>Yes</x:v>
      </x:c>
      <x:c r="H197" s="18" t="str">
        <x:v>Gpa calculator</x:v>
      </x:c>
      <x:c r="I197" s="18" t="n">
        <x:v>1</x:v>
      </x:c>
      <x:c r="J197" s="18" t="str">
        <x:v>Medium</x:v>
      </x:c>
      <x:c r="K197" s="18" t="str">
        <x:v>Medium</x:v>
      </x:c>
      <x:c r="L197" s="18" t="str">
        <x:v>Ads / EdTech</x:v>
      </x:c>
      <x:c r="M197" s="18" t="str">
        <x:v>Valid calculator, higher competition</x:v>
      </x:c>
    </x:row>
    <x:row r="198">
      <x:c r="A198" s="14" t="n">
        <x:v>197</x:v>
      </x:c>
      <x:c r="B198" s="18" t="str">
        <x:v>calculator quadratic equation</x:v>
      </x:c>
      <x:c r="C198" s="18" t="str">
        <x:v>Math &amp; Education</x:v>
      </x:c>
      <x:c r="D198" s="32" t="n">
        <x:v>22200</x:v>
      </x:c>
      <x:c r="E198" s="18" t="n">
        <x:v>58</x:v>
      </x:c>
      <x:c r="F198" s="34" t="n">
        <x:v>1.89</x:v>
      </x:c>
      <x:c r="G198" s="18" t="str">
        <x:v>Yes</x:v>
      </x:c>
      <x:c r="H198" s="18" t="str">
        <x:v>Quadratic equation calculator</x:v>
      </x:c>
      <x:c r="I198" s="18" t="n">
        <x:v>3</x:v>
      </x:c>
      <x:c r="J198" s="18" t="str">
        <x:v>Easy</x:v>
      </x:c>
      <x:c r="K198" s="18" t="str">
        <x:v>Medium</x:v>
      </x:c>
      <x:c r="L198" s="18" t="str">
        <x:v>Ads / EdTech</x:v>
      </x:c>
      <x:c r="M198" s="18" t="str">
        <x:v>Valid calculator, higher competition</x:v>
      </x:c>
    </x:row>
    <x:row r="199">
      <x:c r="A199" s="14" t="n">
        <x:v>198</x:v>
      </x:c>
      <x:c r="B199" s="18" t="str">
        <x:v>calculator percentage</x:v>
      </x:c>
      <x:c r="C199" s="18" t="str">
        <x:v>Date &amp; Time</x:v>
      </x:c>
      <x:c r="D199" s="32" t="n">
        <x:v>2900</x:v>
      </x:c>
      <x:c r="E199" s="18" t="n">
        <x:v>58</x:v>
      </x:c>
      <x:c r="F199" s="34" t="n">
        <x:v>3</x:v>
      </x:c>
      <x:c r="G199" s="18" t="str">
        <x:v>Yes</x:v>
      </x:c>
      <x:c r="H199" s="18" t="str">
        <x:v>Percentage calculator</x:v>
      </x:c>
      <x:c r="I199" s="18" t="n">
        <x:v>1</x:v>
      </x:c>
      <x:c r="J199" s="18" t="str">
        <x:v>Easy</x:v>
      </x:c>
      <x:c r="K199" s="18" t="str">
        <x:v>Medium</x:v>
      </x:c>
      <x:c r="L199" s="18" t="str">
        <x:v>Ads</x:v>
      </x:c>
      <x:c r="M199" s="18" t="str">
        <x:v>Valid calculator, higher competition</x:v>
      </x:c>
    </x:row>
    <x:row r="200">
      <x:c r="A200" s="14" t="n">
        <x:v>199</x:v>
      </x:c>
      <x:c r="B200" s="18" t="str">
        <x:v>calculator auto loan</x:v>
      </x:c>
      <x:c r="C200" s="18" t="str">
        <x:v>Loans &amp; Auto Finance</x:v>
      </x:c>
      <x:c r="D200" s="32" t="n">
        <x:v>673000</x:v>
      </x:c>
      <x:c r="E200" s="18" t="n">
        <x:v>59</x:v>
      </x:c>
      <x:c r="F200" s="34" t="n">
        <x:v>1.4</x:v>
      </x:c>
      <x:c r="G200" s="18" t="str">
        <x:v>Yes</x:v>
      </x:c>
      <x:c r="H200" s="18" t="str">
        <x:v>Car loan/payment calculator</x:v>
      </x:c>
      <x:c r="I200" s="18" t="n">
        <x:v>6</x:v>
      </x:c>
      <x:c r="J200" s="18" t="str">
        <x:v>Medium</x:v>
      </x:c>
      <x:c r="K200" s="18" t="str">
        <x:v>High</x:v>
      </x:c>
      <x:c r="L200" s="18" t="str">
        <x:v>Leads / Ads / Affiliate</x:v>
      </x:c>
      <x:c r="M200" s="18" t="str">
        <x:v>Valid calculator, higher competition</x:v>
      </x:c>
    </x:row>
    <x:row r="201">
      <x:c r="A201" s="14" t="n">
        <x:v>200</x:v>
      </x:c>
      <x:c r="B201" s="18" t="str">
        <x:v>calculator calendar</x:v>
      </x:c>
      <x:c r="C201" s="18" t="str">
        <x:v>Date &amp; Time</x:v>
      </x:c>
      <x:c r="D201" s="32" t="n">
        <x:v>1900</x:v>
      </x:c>
      <x:c r="E201" s="18" t="n">
        <x:v>59</x:v>
      </x:c>
      <x:c r="F201" s="34" t="n">
        <x:v>0.02</x:v>
      </x:c>
      <x:c r="G201" s="18" t="str">
        <x:v>Yes</x:v>
      </x:c>
      <x:c r="H201" s="18" t="str">
        <x:v>Calendar calculator</x:v>
      </x:c>
      <x:c r="I201" s="18" t="n">
        <x:v>1</x:v>
      </x:c>
      <x:c r="J201" s="18" t="str">
        <x:v>Easy</x:v>
      </x:c>
      <x:c r="K201" s="18" t="str">
        <x:v>Medium</x:v>
      </x:c>
      <x:c r="L201" s="18" t="str">
        <x:v>Ads</x:v>
      </x:c>
      <x:c r="M201" s="18" t="str">
        <x:v>Valid calculator, higher competition</x:v>
      </x:c>
    </x:row>
    <x:row r="202">
      <x:c r="A202" s="14" t="n">
        <x:v>201</x:v>
      </x:c>
      <x:c r="B202" s="18" t="str">
        <x:v>calculator due date</x:v>
      </x:c>
      <x:c r="C202" s="18" t="str">
        <x:v>Pregnancy &amp; Family</x:v>
      </x:c>
      <x:c r="D202" s="32" t="n">
        <x:v>260</x:v>
      </x:c>
      <x:c r="E202" s="18" t="n">
        <x:v>59</x:v>
      </x:c>
      <x:c r="F202" s="34" t="n">
        <x:v>0.86</x:v>
      </x:c>
      <x:c r="G202" s="18" t="str">
        <x:v>Yes</x:v>
      </x:c>
      <x:c r="H202" s="18" t="str">
        <x:v>Date calculator</x:v>
      </x:c>
      <x:c r="I202" s="18" t="n">
        <x:v>9</x:v>
      </x:c>
      <x:c r="J202" s="18" t="str">
        <x:v>Medium</x:v>
      </x:c>
      <x:c r="K202" s="18" t="str">
        <x:v>Medium</x:v>
      </x:c>
      <x:c r="L202" s="18" t="str">
        <x:v>Ads / Affiliate</x:v>
      </x:c>
      <x:c r="M202" s="18" t="str">
        <x:v>Valid calculator, higher competition</x:v>
      </x:c>
    </x:row>
    <x:row r="203">
      <x:c r="A203" s="14" t="n">
        <x:v>202</x:v>
      </x:c>
      <x:c r="B203" s="18" t="str">
        <x:v>calculator ovulation</x:v>
      </x:c>
      <x:c r="C203" s="18" t="str">
        <x:v>Pregnancy &amp; Family</x:v>
      </x:c>
      <x:c r="D203" s="32" t="n">
        <x:v>246000</x:v>
      </x:c>
      <x:c r="E203" s="18" t="n">
        <x:v>60</x:v>
      </x:c>
      <x:c r="F203" s="34" t="n">
        <x:v>2.06</x:v>
      </x:c>
      <x:c r="G203" s="18" t="str">
        <x:v>Yes</x:v>
      </x:c>
      <x:c r="H203" s="18" t="str">
        <x:v>Ovulation calculator</x:v>
      </x:c>
      <x:c r="I203" s="18" t="n">
        <x:v>1</x:v>
      </x:c>
      <x:c r="J203" s="18" t="str">
        <x:v>Medium</x:v>
      </x:c>
      <x:c r="K203" s="18" t="str">
        <x:v>Medium</x:v>
      </x:c>
      <x:c r="L203" s="18" t="str">
        <x:v>Ads / Affiliate</x:v>
      </x:c>
      <x:c r="M203" s="18" t="str">
        <x:v>Valid calculator, higher competition</x:v>
      </x:c>
    </x:row>
    <x:row r="204">
      <x:c r="A204" s="14" t="n">
        <x:v>203</x:v>
      </x:c>
      <x:c r="B204" s="18" t="str">
        <x:v>calculator birth</x:v>
      </x:c>
      <x:c r="C204" s="18" t="str">
        <x:v>Pregnancy &amp; Family</x:v>
      </x:c>
      <x:c r="D204" s="32" t="n">
        <x:v>3600</x:v>
      </x:c>
      <x:c r="E204" s="18" t="n">
        <x:v>60</x:v>
      </x:c>
      <x:c r="F204" s="34" t="n">
        <x:v>0.62</x:v>
      </x:c>
      <x:c r="G204" s="18" t="str">
        <x:v>Yes</x:v>
      </x:c>
      <x:c r="H204" s="18" t="str">
        <x:v>Birth calculator</x:v>
      </x:c>
      <x:c r="I204" s="18" t="n">
        <x:v>1</x:v>
      </x:c>
      <x:c r="J204" s="18" t="str">
        <x:v>Easy</x:v>
      </x:c>
      <x:c r="K204" s="18" t="str">
        <x:v>Medium</x:v>
      </x:c>
      <x:c r="L204" s="18" t="str">
        <x:v>Ads / Affiliate</x:v>
      </x:c>
      <x:c r="M204" s="18" t="str">
        <x:v>Valid calculator, higher competition</x:v>
      </x:c>
    </x:row>
    <x:row r="205">
      <x:c r="A205" s="14" t="n">
        <x:v>204</x:v>
      </x:c>
      <x:c r="B205" s="18" t="str">
        <x:v>calculator car loan</x:v>
      </x:c>
      <x:c r="C205" s="18" t="str">
        <x:v>Loans &amp; Auto Finance</x:v>
      </x:c>
      <x:c r="D205" s="32" t="n">
        <x:v>1000</x:v>
      </x:c>
      <x:c r="E205" s="18" t="n">
        <x:v>60</x:v>
      </x:c>
      <x:c r="F205" s="34" t="n">
        <x:v>1.16</x:v>
      </x:c>
      <x:c r="G205" s="18" t="str">
        <x:v>Yes</x:v>
      </x:c>
      <x:c r="H205" s="18" t="str">
        <x:v>Car loan/payment calculator</x:v>
      </x:c>
      <x:c r="I205" s="18" t="n">
        <x:v>6</x:v>
      </x:c>
      <x:c r="J205" s="18" t="str">
        <x:v>Medium</x:v>
      </x:c>
      <x:c r="K205" s="18" t="str">
        <x:v>High</x:v>
      </x:c>
      <x:c r="L205" s="18" t="str">
        <x:v>Leads / Ads / Affiliate</x:v>
      </x:c>
      <x:c r="M205" s="18" t="str">
        <x:v>Valid calculator, higher competition</x:v>
      </x:c>
    </x:row>
    <x:row r="206">
      <x:c r="A206" s="14" t="n">
        <x:v>205</x:v>
      </x:c>
      <x:c r="B206" s="18" t="str">
        <x:v>calculator algebra</x:v>
      </x:c>
      <x:c r="C206" s="18" t="str">
        <x:v>Math &amp; Education</x:v>
      </x:c>
      <x:c r="D206" s="32" t="n">
        <x:v>90500</x:v>
      </x:c>
      <x:c r="E206" s="18" t="n">
        <x:v>61</x:v>
      </x:c>
      <x:c r="F206" s="34" t="n">
        <x:v>0.96</x:v>
      </x:c>
      <x:c r="G206" s="18" t="str">
        <x:v>Yes</x:v>
      </x:c>
      <x:c r="H206" s="18" t="str">
        <x:v>Algebra calculator</x:v>
      </x:c>
      <x:c r="I206" s="18" t="n">
        <x:v>1</x:v>
      </x:c>
      <x:c r="J206" s="18" t="str">
        <x:v>Easy</x:v>
      </x:c>
      <x:c r="K206" s="18" t="str">
        <x:v>Medium</x:v>
      </x:c>
      <x:c r="L206" s="18" t="str">
        <x:v>Ads / EdTech</x:v>
      </x:c>
      <x:c r="M206" s="18" t="str">
        <x:v>Valid calculator, higher competition</x:v>
      </x:c>
    </x:row>
    <x:row r="207">
      <x:c r="A207" s="14" t="n">
        <x:v>206</x:v>
      </x:c>
      <x:c r="B207" s="18" t="str">
        <x:v>calculator usps</x:v>
      </x:c>
      <x:c r="C207" s="18" t="str">
        <x:v>Government &amp; Benefits</x:v>
      </x:c>
      <x:c r="D207" s="32" t="n">
        <x:v>49500</x:v>
      </x:c>
      <x:c r="E207" s="18" t="n">
        <x:v>61</x:v>
      </x:c>
      <x:c r="F207" s="34" t="n">
        <x:v>0.35</x:v>
      </x:c>
      <x:c r="G207" s="18" t="str">
        <x:v>Yes</x:v>
      </x:c>
      <x:c r="H207" s="18" t="str">
        <x:v>Usps calculator</x:v>
      </x:c>
      <x:c r="I207" s="18" t="n">
        <x:v>1</x:v>
      </x:c>
      <x:c r="J207" s="18" t="str">
        <x:v>Complex</x:v>
      </x:c>
      <x:c r="K207" s="18" t="str">
        <x:v>High</x:v>
      </x:c>
      <x:c r="L207" s="18" t="str">
        <x:v>Ads</x:v>
      </x:c>
      <x:c r="M207" s="18" t="str">
        <x:v>Valid calculator, higher competition</x:v>
      </x:c>
    </x:row>
    <x:row r="208">
      <x:c r="A208" s="14" t="n">
        <x:v>207</x:v>
      </x:c>
      <x:c r="B208" s="18" t="str">
        <x:v>calculator overtime</x:v>
      </x:c>
      <x:c r="C208" s="18" t="str">
        <x:v>Salary, Payroll &amp; Tax</x:v>
      </x:c>
      <x:c r="D208" s="32" t="n">
        <x:v>22200</x:v>
      </x:c>
      <x:c r="E208" s="18" t="n">
        <x:v>61</x:v>
      </x:c>
      <x:c r="F208" s="34" t="n">
        <x:v>6.91</x:v>
      </x:c>
      <x:c r="G208" s="18" t="str">
        <x:v>Yes</x:v>
      </x:c>
      <x:c r="H208" s="18" t="str">
        <x:v>Overtime calculator</x:v>
      </x:c>
      <x:c r="I208" s="18" t="n">
        <x:v>1</x:v>
      </x:c>
      <x:c r="J208" s="18" t="str">
        <x:v>Medium</x:v>
      </x:c>
      <x:c r="K208" s="18" t="str">
        <x:v>High</x:v>
      </x:c>
      <x:c r="L208" s="18" t="str">
        <x:v>Ads / SaaS leads</x:v>
      </x:c>
      <x:c r="M208" s="18" t="str">
        <x:v>Valid calculator, higher competition</x:v>
      </x:c>
    </x:row>
    <x:row r="209">
      <x:c r="A209" s="14" t="n">
        <x:v>208</x:v>
      </x:c>
      <x:c r="B209" s="18" t="str">
        <x:v>calculator scientific online</x:v>
      </x:c>
      <x:c r="C209" s="18" t="str">
        <x:v>Math &amp; Education</x:v>
      </x:c>
      <x:c r="D209" s="32" t="n">
        <x:v>5400</x:v>
      </x:c>
      <x:c r="E209" s="18" t="n">
        <x:v>61</x:v>
      </x:c>
      <x:c r="F209" s="34" t="n">
        <x:v>2.99</x:v>
      </x:c>
      <x:c r="G209" s="18" t="str">
        <x:v>Yes</x:v>
      </x:c>
      <x:c r="H209" s="18" t="str">
        <x:v>Scientific calculator</x:v>
      </x:c>
      <x:c r="I209" s="18" t="n">
        <x:v>2</x:v>
      </x:c>
      <x:c r="J209" s="18" t="str">
        <x:v>Easy</x:v>
      </x:c>
      <x:c r="K209" s="18" t="str">
        <x:v>Medium</x:v>
      </x:c>
      <x:c r="L209" s="18" t="str">
        <x:v>Ads / EdTech</x:v>
      </x:c>
      <x:c r="M209" s="18" t="str">
        <x:v>Valid calculator, higher competition</x:v>
      </x:c>
    </x:row>
    <x:row r="210">
      <x:c r="A210" s="14" t="n">
        <x:v>209</x:v>
      </x:c>
      <x:c r="B210" s="18" t="str">
        <x:v>calculator.net tdee</x:v>
      </x:c>
      <x:c r="C210" s="18" t="str">
        <x:v>Health, Nutrition &amp; Fitness</x:v>
      </x:c>
      <x:c r="D210" s="32" t="n">
        <x:v>1300</x:v>
      </x:c>
      <x:c r="E210" s="18" t="n">
        <x:v>61</x:v>
      </x:c>
      <x:c r="F210" s="34" t="n">
        <x:v>1.26</x:v>
      </x:c>
      <x:c r="G210" s="18" t="str">
        <x:v>Yes</x:v>
      </x:c>
      <x:c r="H210" s="18" t="str">
        <x:v>.Net Tdee calculator</x:v>
      </x:c>
      <x:c r="I210" s="18" t="n">
        <x:v>1</x:v>
      </x:c>
      <x:c r="J210" s="18" t="str">
        <x:v>Medium</x:v>
      </x:c>
      <x:c r="K210" s="18" t="str">
        <x:v>Medium</x:v>
      </x:c>
      <x:c r="L210" s="18" t="str">
        <x:v>Ads / Affiliate</x:v>
      </x:c>
      <x:c r="M210" s="18" t="str">
        <x:v>Valid calculator, higher competition</x:v>
      </x:c>
    </x:row>
    <x:row r="211">
      <x:c r="A211" s="14" t="n">
        <x:v>210</x:v>
      </x:c>
      <x:c r="B211" s="18" t="str">
        <x:v>calculator update</x:v>
      </x:c>
      <x:c r="C211" s="18" t="str">
        <x:v>Date &amp; Time</x:v>
      </x:c>
      <x:c r="D211" s="32" t="n">
        <x:v>50</x:v>
      </x:c>
      <x:c r="E211" s="18" t="n">
        <x:v>61</x:v>
      </x:c>
      <x:c r="F211" s="34" t="n">
        <x:v>0</x:v>
      </x:c>
      <x:c r="G211" s="18" t="str">
        <x:v>Yes</x:v>
      </x:c>
      <x:c r="H211" s="18" t="str">
        <x:v>Date calculator</x:v>
      </x:c>
      <x:c r="I211" s="18" t="n">
        <x:v>9</x:v>
      </x:c>
      <x:c r="J211" s="18" t="str">
        <x:v>Easy</x:v>
      </x:c>
      <x:c r="K211" s="18" t="str">
        <x:v>Medium</x:v>
      </x:c>
      <x:c r="L211" s="18" t="str">
        <x:v>Ads</x:v>
      </x:c>
      <x:c r="M211" s="18" t="str">
        <x:v>Valid calculator, higher competition</x:v>
      </x:c>
    </x:row>
    <x:row r="212">
      <x:c r="A212" s="14" t="n">
        <x:v>211</x:v>
      </x:c>
      <x:c r="B212" s="18" t="str">
        <x:v>calculator refinance</x:v>
      </x:c>
      <x:c r="C212" s="18" t="str">
        <x:v>Mortgage &amp; Real Estate</x:v>
      </x:c>
      <x:c r="D212" s="32" t="n">
        <x:v>49500</x:v>
      </x:c>
      <x:c r="E212" s="18" t="n">
        <x:v>62</x:v>
      </x:c>
      <x:c r="F212" s="34" t="n">
        <x:v>6.02</x:v>
      </x:c>
      <x:c r="G212" s="18" t="str">
        <x:v>Yes</x:v>
      </x:c>
      <x:c r="H212" s="18" t="str">
        <x:v>Refinance calculator</x:v>
      </x:c>
      <x:c r="I212" s="18" t="n">
        <x:v>1</x:v>
      </x:c>
      <x:c r="J212" s="18" t="str">
        <x:v>Complex</x:v>
      </x:c>
      <x:c r="K212" s="18" t="str">
        <x:v>High</x:v>
      </x:c>
      <x:c r="L212" s="18" t="str">
        <x:v>Leads / Ads / Affiliate</x:v>
      </x:c>
      <x:c r="M212" s="18" t="str">
        <x:v>Valid calculator, higher competition</x:v>
      </x:c>
    </x:row>
    <x:row r="213">
      <x:c r="A213" s="14" t="n">
        <x:v>212</x:v>
      </x:c>
      <x:c r="B213" s="18" t="str">
        <x:v>calculator bmr</x:v>
      </x:c>
      <x:c r="C213" s="18" t="str">
        <x:v>Health, Nutrition &amp; Fitness</x:v>
      </x:c>
      <x:c r="D213" s="32" t="n">
        <x:v>480</x:v>
      </x:c>
      <x:c r="E213" s="18" t="n">
        <x:v>62</x:v>
      </x:c>
      <x:c r="F213" s="34" t="n">
        <x:v>1.01</x:v>
      </x:c>
      <x:c r="G213" s="18" t="str">
        <x:v>Yes</x:v>
      </x:c>
      <x:c r="H213" s="18" t="str">
        <x:v>Bmr calculator</x:v>
      </x:c>
      <x:c r="I213" s="18" t="n">
        <x:v>1</x:v>
      </x:c>
      <x:c r="J213" s="18" t="str">
        <x:v>Medium</x:v>
      </x:c>
      <x:c r="K213" s="18" t="str">
        <x:v>Medium</x:v>
      </x:c>
      <x:c r="L213" s="18" t="str">
        <x:v>Ads / Affiliate</x:v>
      </x:c>
      <x:c r="M213" s="18" t="str">
        <x:v>Valid calculator, higher competition</x:v>
      </x:c>
    </x:row>
    <x:row r="214">
      <x:c r="A214" s="14" t="n">
        <x:v>213</x:v>
      </x:c>
      <x:c r="B214" s="18" t="str">
        <x:v>calculator 401k</x:v>
      </x:c>
      <x:c r="C214" s="18" t="str">
        <x:v>Personal Finance &amp; Investing</x:v>
      </x:c>
      <x:c r="D214" s="32" t="n">
        <x:v>165000</x:v>
      </x:c>
      <x:c r="E214" s="18" t="n">
        <x:v>63</x:v>
      </x:c>
      <x:c r="F214" s="34" t="n">
        <x:v>0.84</x:v>
      </x:c>
      <x:c r="G214" s="18" t="str">
        <x:v>Yes</x:v>
      </x:c>
      <x:c r="H214" s="18" t="str">
        <x:v>401K calculator</x:v>
      </x:c>
      <x:c r="I214" s="18" t="n">
        <x:v>1</x:v>
      </x:c>
      <x:c r="J214" s="18" t="str">
        <x:v>Medium</x:v>
      </x:c>
      <x:c r="K214" s="18" t="str">
        <x:v>High</x:v>
      </x:c>
      <x:c r="L214" s="18" t="str">
        <x:v>Ads / Leads / Affiliate</x:v>
      </x:c>
      <x:c r="M214" s="18" t="str">
        <x:v>Valid calculator, higher competition</x:v>
      </x:c>
    </x:row>
    <x:row r="215">
      <x:c r="A215" s="14" t="n">
        <x:v>214</x:v>
      </x:c>
      <x:c r="B215" s="18" t="str">
        <x:v>calculator paycheck</x:v>
      </x:c>
      <x:c r="C215" s="18" t="str">
        <x:v>Salary, Payroll &amp; Tax</x:v>
      </x:c>
      <x:c r="D215" s="32" t="n">
        <x:v>8100</x:v>
      </x:c>
      <x:c r="E215" s="18" t="n">
        <x:v>64</x:v>
      </x:c>
      <x:c r="F215" s="34" t="n">
        <x:v>12.42</x:v>
      </x:c>
      <x:c r="G215" s="18" t="str">
        <x:v>Yes</x:v>
      </x:c>
      <x:c r="H215" s="18" t="str">
        <x:v>Paycheck calculator</x:v>
      </x:c>
      <x:c r="I215" s="18" t="n">
        <x:v>1</x:v>
      </x:c>
      <x:c r="J215" s="18" t="str">
        <x:v>Complex</x:v>
      </x:c>
      <x:c r="K215" s="18" t="str">
        <x:v>High</x:v>
      </x:c>
      <x:c r="L215" s="18" t="str">
        <x:v>Ads / SaaS leads</x:v>
      </x:c>
      <x:c r="M215" s="18" t="str">
        <x:v>Valid calculator, higher competition</x:v>
      </x:c>
    </x:row>
    <x:row r="216">
      <x:c r="A216" s="14" t="n">
        <x:v>215</x:v>
      </x:c>
      <x:c r="B216" s="18" t="str">
        <x:v>calculator that shows work</x:v>
      </x:c>
      <x:c r="C216" s="18" t="str">
        <x:v>General / Other</x:v>
      </x:c>
      <x:c r="D216" s="32" t="n">
        <x:v>1300</x:v>
      </x:c>
      <x:c r="E216" s="18" t="n">
        <x:v>64</x:v>
      </x:c>
      <x:c r="F216" s="34" t="n">
        <x:v>1.48</x:v>
      </x:c>
      <x:c r="G216" s="18" t="str">
        <x:v>Maybe</x:v>
      </x:c>
      <x:c r="H216" s="18" t="str">
        <x:v>That Shows Work calculator</x:v>
      </x:c>
      <x:c r="I216" s="18" t="n">
        <x:v>1</x:v>
      </x:c>
      <x:c r="J216" s="18" t="str">
        <x:v>Easy</x:v>
      </x:c>
      <x:c r="K216" s="18" t="str">
        <x:v>Medium</x:v>
      </x:c>
      <x:c r="L216" s="18" t="str">
        <x:v>Ads</x:v>
      </x:c>
      <x:c r="M216" s="18" t="str">
        <x:v>Valid calculator, higher competition</x:v>
      </x:c>
    </x:row>
    <x:row r="217">
      <x:c r="A217" s="14" t="n">
        <x:v>216</x:v>
      </x:c>
      <x:c r="B217" s="18" t="str">
        <x:v>calculator compound interest</x:v>
      </x:c>
      <x:c r="C217" s="18" t="str">
        <x:v>Personal Finance &amp; Investing</x:v>
      </x:c>
      <x:c r="D217" s="32" t="n">
        <x:v>673000</x:v>
      </x:c>
      <x:c r="E217" s="18" t="n">
        <x:v>65</x:v>
      </x:c>
      <x:c r="F217" s="34" t="n">
        <x:v>2.16</x:v>
      </x:c>
      <x:c r="G217" s="18" t="str">
        <x:v>Yes</x:v>
      </x:c>
      <x:c r="H217" s="18" t="str">
        <x:v>Compound Interest calculator</x:v>
      </x:c>
      <x:c r="I217" s="18" t="n">
        <x:v>1</x:v>
      </x:c>
      <x:c r="J217" s="18" t="str">
        <x:v>Easy</x:v>
      </x:c>
      <x:c r="K217" s="18" t="str">
        <x:v>High</x:v>
      </x:c>
      <x:c r="L217" s="18" t="str">
        <x:v>Ads / Leads / Affiliate</x:v>
      </x:c>
      <x:c r="M217" s="18" t="str">
        <x:v>Valid calculator, higher competition</x:v>
      </x:c>
    </x:row>
    <x:row r="218">
      <x:c r="A218" s="14" t="n">
        <x:v>217</x:v>
      </x:c>
      <x:c r="B218" s="18" t="str">
        <x:v>calculator 401k growth</x:v>
      </x:c>
      <x:c r="C218" s="18" t="str">
        <x:v>Personal Finance &amp; Investing</x:v>
      </x:c>
      <x:c r="D218" s="32" t="n">
        <x:v>6600</x:v>
      </x:c>
      <x:c r="E218" s="18" t="n">
        <x:v>66</x:v>
      </x:c>
      <x:c r="F218" s="34" t="n">
        <x:v>1.21</x:v>
      </x:c>
      <x:c r="G218" s="18" t="str">
        <x:v>Yes</x:v>
      </x:c>
      <x:c r="H218" s="18" t="str">
        <x:v>401K Growth calculator</x:v>
      </x:c>
      <x:c r="I218" s="18" t="n">
        <x:v>1</x:v>
      </x:c>
      <x:c r="J218" s="18" t="str">
        <x:v>Medium</x:v>
      </x:c>
      <x:c r="K218" s="18" t="str">
        <x:v>High</x:v>
      </x:c>
      <x:c r="L218" s="18" t="str">
        <x:v>Ads / Leads / Affiliate</x:v>
      </x:c>
      <x:c r="M218" s="18" t="str">
        <x:v>Valid calculator, higher competition</x:v>
      </x:c>
    </x:row>
    <x:row r="219">
      <x:c r="A219" s="14" t="n">
        <x:v>218</x:v>
      </x:c>
      <x:c r="B219" s="18" t="str">
        <x:v>calculator net calories</x:v>
      </x:c>
      <x:c r="C219" s="18" t="str">
        <x:v>Health, Nutrition &amp; Fitness</x:v>
      </x:c>
      <x:c r="D219" s="32" t="n">
        <x:v>2900</x:v>
      </x:c>
      <x:c r="E219" s="18" t="n">
        <x:v>66</x:v>
      </x:c>
      <x:c r="F219" s="34" t="n">
        <x:v>1.28</x:v>
      </x:c>
      <x:c r="G219" s="18" t="str">
        <x:v>Yes</x:v>
      </x:c>
      <x:c r="H219" s="18" t="str">
        <x:v>Calorie calculator</x:v>
      </x:c>
      <x:c r="I219" s="18" t="n">
        <x:v>3</x:v>
      </x:c>
      <x:c r="J219" s="18" t="str">
        <x:v>Easy</x:v>
      </x:c>
      <x:c r="K219" s="18" t="str">
        <x:v>Medium</x:v>
      </x:c>
      <x:c r="L219" s="18" t="str">
        <x:v>Ads / Affiliate</x:v>
      </x:c>
      <x:c r="M219" s="18" t="str">
        <x:v>Valid calculator, higher competition</x:v>
      </x:c>
    </x:row>
    <x:row r="220">
      <x:c r="A220" s="14" t="n">
        <x:v>219</x:v>
      </x:c>
      <x:c r="B220" s="18" t="str">
        <x:v>calculator inflation</x:v>
      </x:c>
      <x:c r="C220" s="18" t="str">
        <x:v>Personal Finance &amp; Investing</x:v>
      </x:c>
      <x:c r="D220" s="32" t="n">
        <x:v>550000</x:v>
      </x:c>
      <x:c r="E220" s="18" t="n">
        <x:v>67</x:v>
      </x:c>
      <x:c r="F220" s="34" t="n">
        <x:v>2.15</x:v>
      </x:c>
      <x:c r="G220" s="18" t="str">
        <x:v>Yes</x:v>
      </x:c>
      <x:c r="H220" s="18" t="str">
        <x:v>Inflation calculator</x:v>
      </x:c>
      <x:c r="I220" s="18" t="n">
        <x:v>1</x:v>
      </x:c>
      <x:c r="J220" s="18" t="str">
        <x:v>Complex</x:v>
      </x:c>
      <x:c r="K220" s="18" t="str">
        <x:v>High</x:v>
      </x:c>
      <x:c r="L220" s="18" t="str">
        <x:v>Ads / Leads / Affiliate</x:v>
      </x:c>
      <x:c r="M220" s="18" t="str">
        <x:v>Valid calculator, higher competition</x:v>
      </x:c>
    </x:row>
    <x:row r="221">
      <x:c r="A221" s="14" t="n">
        <x:v>220</x:v>
      </x:c>
      <x:c r="B221" s="18" t="str">
        <x:v>calculator time card</x:v>
      </x:c>
      <x:c r="C221" s="18" t="str">
        <x:v>Salary, Payroll &amp; Tax</x:v>
      </x:c>
      <x:c r="D221" s="32" t="n">
        <x:v>201000</x:v>
      </x:c>
      <x:c r="E221" s="18" t="n">
        <x:v>67</x:v>
      </x:c>
      <x:c r="F221" s="34" t="n">
        <x:v>5.64</x:v>
      </x:c>
      <x:c r="G221" s="18" t="str">
        <x:v>Yes</x:v>
      </x:c>
      <x:c r="H221" s="18" t="str">
        <x:v>Time card/work hours calculator</x:v>
      </x:c>
      <x:c r="I221" s="18" t="n">
        <x:v>4</x:v>
      </x:c>
      <x:c r="J221" s="18" t="str">
        <x:v>Easy</x:v>
      </x:c>
      <x:c r="K221" s="18" t="str">
        <x:v>High</x:v>
      </x:c>
      <x:c r="L221" s="18" t="str">
        <x:v>Ads / SaaS leads</x:v>
      </x:c>
      <x:c r="M221" s="18" t="str">
        <x:v>Valid calculator, higher competition</x:v>
      </x:c>
    </x:row>
    <x:row r="222">
      <x:c r="A222" s="14" t="n">
        <x:v>221</x:v>
      </x:c>
      <x:c r="B222" s="18" t="str">
        <x:v>calculator calorie deficit</x:v>
      </x:c>
      <x:c r="C222" s="18" t="str">
        <x:v>Health, Nutrition &amp; Fitness</x:v>
      </x:c>
      <x:c r="D222" s="32" t="n">
        <x:v>320</x:v>
      </x:c>
      <x:c r="E222" s="18" t="n">
        <x:v>67</x:v>
      </x:c>
      <x:c r="F222" s="34" t="n">
        <x:v>0.75</x:v>
      </x:c>
      <x:c r="G222" s="18" t="str">
        <x:v>Yes</x:v>
      </x:c>
      <x:c r="H222" s="18" t="str">
        <x:v>Calorie deficit calculator</x:v>
      </x:c>
      <x:c r="I222" s="18" t="n">
        <x:v>4</x:v>
      </x:c>
      <x:c r="J222" s="18" t="str">
        <x:v>Easy</x:v>
      </x:c>
      <x:c r="K222" s="18" t="str">
        <x:v>Medium</x:v>
      </x:c>
      <x:c r="L222" s="18" t="str">
        <x:v>Ads / Affiliate</x:v>
      </x:c>
      <x:c r="M222" s="18" t="str">
        <x:v>Valid calculator, higher competition</x:v>
      </x:c>
    </x:row>
    <x:row r="223">
      <x:c r="A223" s="14" t="n">
        <x:v>222</x:v>
      </x:c>
      <x:c r="B223" s="18" t="str">
        <x:v>calculator deficit</x:v>
      </x:c>
      <x:c r="C223" s="18" t="str">
        <x:v>General / Other</x:v>
      </x:c>
      <x:c r="D223" s="32" t="n">
        <x:v>110</x:v>
      </x:c>
      <x:c r="E223" s="18" t="n">
        <x:v>67</x:v>
      </x:c>
      <x:c r="F223" s="34" t="n">
        <x:v>0.71</x:v>
      </x:c>
      <x:c r="G223" s="18" t="str">
        <x:v>Maybe</x:v>
      </x:c>
      <x:c r="H223" s="18" t="str">
        <x:v>Calorie deficit calculator</x:v>
      </x:c>
      <x:c r="I223" s="18" t="n">
        <x:v>4</x:v>
      </x:c>
      <x:c r="J223" s="18" t="str">
        <x:v>Easy</x:v>
      </x:c>
      <x:c r="K223" s="18" t="str">
        <x:v>Medium</x:v>
      </x:c>
      <x:c r="L223" s="18" t="str">
        <x:v>Ads</x:v>
      </x:c>
      <x:c r="M223" s="18" t="str">
        <x:v>Valid calculator, higher competition</x:v>
      </x:c>
    </x:row>
    <x:row r="224">
      <x:c r="A224" s="14" t="n">
        <x:v>223</x:v>
      </x:c>
      <x:c r="B224" s="18" t="str">
        <x:v>calculator high yield savings</x:v>
      </x:c>
      <x:c r="C224" s="18" t="str">
        <x:v>Personal Finance &amp; Investing</x:v>
      </x:c>
      <x:c r="D224" s="32" t="n">
        <x:v>70</x:v>
      </x:c>
      <x:c r="E224" s="18" t="n">
        <x:v>67</x:v>
      </x:c>
      <x:c r="F224" s="34" t="n">
        <x:v>5.12</x:v>
      </x:c>
      <x:c r="G224" s="18" t="str">
        <x:v>Maybe</x:v>
      </x:c>
      <x:c r="H224" s="18" t="str">
        <x:v>High Yield Savings calculator</x:v>
      </x:c>
      <x:c r="I224" s="18" t="n">
        <x:v>1</x:v>
      </x:c>
      <x:c r="J224" s="18" t="str">
        <x:v>Easy</x:v>
      </x:c>
      <x:c r="K224" s="18" t="str">
        <x:v>High</x:v>
      </x:c>
      <x:c r="L224" s="18" t="str">
        <x:v>Ads / Leads / Affiliate</x:v>
      </x:c>
      <x:c r="M224" s="18" t="str">
        <x:v>Valid calculator, higher competition</x:v>
      </x:c>
    </x:row>
    <x:row r="225">
      <x:c r="A225" s="14" t="n">
        <x:v>224</x:v>
      </x:c>
      <x:c r="B225" s="18" t="str">
        <x:v>calculator how much house can i afford</x:v>
      </x:c>
      <x:c r="C225" s="18" t="str">
        <x:v>Mortgage &amp; Real Estate</x:v>
      </x:c>
      <x:c r="D225" s="32" t="n">
        <x:v>33100</x:v>
      </x:c>
      <x:c r="E225" s="18" t="n">
        <x:v>68</x:v>
      </x:c>
      <x:c r="F225" s="34" t="n">
        <x:v>3.2</x:v>
      </x:c>
      <x:c r="G225" s="18" t="str">
        <x:v>Yes</x:v>
      </x:c>
      <x:c r="H225" s="18" t="str">
        <x:v>How Much House Can I Afford calculator</x:v>
      </x:c>
      <x:c r="I225" s="18" t="n">
        <x:v>1</x:v>
      </x:c>
      <x:c r="J225" s="18" t="str">
        <x:v>Complex</x:v>
      </x:c>
      <x:c r="K225" s="18" t="str">
        <x:v>High</x:v>
      </x:c>
      <x:c r="L225" s="18" t="str">
        <x:v>Leads / Ads / Affiliate</x:v>
      </x:c>
      <x:c r="M225" s="18" t="str">
        <x:v>Valid calculator, higher competition</x:v>
      </x:c>
    </x:row>
    <x:row r="226">
      <x:c r="A226" s="14" t="n">
        <x:v>225</x:v>
      </x:c>
      <x:c r="B226" s="18" t="str">
        <x:v>calculator mortgage</x:v>
      </x:c>
      <x:c r="C226" s="18" t="str">
        <x:v>Mortgage &amp; Real Estate</x:v>
      </x:c>
      <x:c r="D226" s="32" t="n">
        <x:v>2900</x:v>
      </x:c>
      <x:c r="E226" s="18" t="n">
        <x:v>68</x:v>
      </x:c>
      <x:c r="F226" s="34" t="n">
        <x:v>1.99</x:v>
      </x:c>
      <x:c r="G226" s="18" t="str">
        <x:v>Yes</x:v>
      </x:c>
      <x:c r="H226" s="18" t="str">
        <x:v>Mortgage payment calculator</x:v>
      </x:c>
      <x:c r="I226" s="18" t="n">
        <x:v>7</x:v>
      </x:c>
      <x:c r="J226" s="18" t="str">
        <x:v>Medium</x:v>
      </x:c>
      <x:c r="K226" s="18" t="str">
        <x:v>High</x:v>
      </x:c>
      <x:c r="L226" s="18" t="str">
        <x:v>Leads / Ads / Affiliate</x:v>
      </x:c>
      <x:c r="M226" s="18" t="str">
        <x:v>Valid calculator, higher competition</x:v>
      </x:c>
    </x:row>
    <x:row r="227">
      <x:c r="A227" s="14" t="n">
        <x:v>226</x:v>
      </x:c>
      <x:c r="B227" s="18" t="str">
        <x:v>calculator bmi</x:v>
      </x:c>
      <x:c r="C227" s="18" t="str">
        <x:v>Health, Nutrition &amp; Fitness</x:v>
      </x:c>
      <x:c r="D227" s="32" t="n">
        <x:v>1900</x:v>
      </x:c>
      <x:c r="E227" s="18" t="n">
        <x:v>68</x:v>
      </x:c>
      <x:c r="F227" s="34" t="n">
        <x:v>0.85</x:v>
      </x:c>
      <x:c r="G227" s="18" t="str">
        <x:v>Yes</x:v>
      </x:c>
      <x:c r="H227" s="18" t="str">
        <x:v>Bmi calculator</x:v>
      </x:c>
      <x:c r="I227" s="18" t="n">
        <x:v>1</x:v>
      </x:c>
      <x:c r="J227" s="18" t="str">
        <x:v>Easy</x:v>
      </x:c>
      <x:c r="K227" s="18" t="str">
        <x:v>Medium</x:v>
      </x:c>
      <x:c r="L227" s="18" t="str">
        <x:v>Ads / Affiliate</x:v>
      </x:c>
      <x:c r="M227" s="18" t="str">
        <x:v>Valid calculator, higher competition</x:v>
      </x:c>
    </x:row>
    <x:row r="228">
      <x:c r="A228" s="14" t="n">
        <x:v>227</x:v>
      </x:c>
      <x:c r="B228" s="18" t="str">
        <x:v>calculator gross income</x:v>
      </x:c>
      <x:c r="C228" s="18" t="str">
        <x:v>Salary, Payroll &amp; Tax</x:v>
      </x:c>
      <x:c r="D228" s="32" t="n">
        <x:v>1900</x:v>
      </x:c>
      <x:c r="E228" s="18" t="n">
        <x:v>68</x:v>
      </x:c>
      <x:c r="F228" s="34" t="n">
        <x:v>1.25</x:v>
      </x:c>
      <x:c r="G228" s="18" t="str">
        <x:v>Yes</x:v>
      </x:c>
      <x:c r="H228" s="18" t="str">
        <x:v>Gross Income calculator</x:v>
      </x:c>
      <x:c r="I228" s="18" t="n">
        <x:v>1</x:v>
      </x:c>
      <x:c r="J228" s="18" t="str">
        <x:v>Easy</x:v>
      </x:c>
      <x:c r="K228" s="18" t="str">
        <x:v>High</x:v>
      </x:c>
      <x:c r="L228" s="18" t="str">
        <x:v>Ads / SaaS leads</x:v>
      </x:c>
      <x:c r="M228" s="18" t="str">
        <x:v>Valid calculator, higher competition</x:v>
      </x:c>
    </x:row>
    <x:row r="229">
      <x:c r="A229" s="14" t="n">
        <x:v>228</x:v>
      </x:c>
      <x:c r="B229" s="18" t="str">
        <x:v>calculator net worth</x:v>
      </x:c>
      <x:c r="C229" s="18" t="str">
        <x:v>Personal Finance &amp; Investing</x:v>
      </x:c>
      <x:c r="D229" s="32" t="n">
        <x:v>27100</x:v>
      </x:c>
      <x:c r="E229" s="18" t="n">
        <x:v>69</x:v>
      </x:c>
      <x:c r="F229" s="34" t="n">
        <x:v>1.02</x:v>
      </x:c>
      <x:c r="G229" s="18" t="str">
        <x:v>Yes</x:v>
      </x:c>
      <x:c r="H229" s="18" t="str">
        <x:v>Net Worth calculator</x:v>
      </x:c>
      <x:c r="I229" s="18" t="n">
        <x:v>1</x:v>
      </x:c>
      <x:c r="J229" s="18" t="str">
        <x:v>Easy</x:v>
      </x:c>
      <x:c r="K229" s="18" t="str">
        <x:v>High</x:v>
      </x:c>
      <x:c r="L229" s="18" t="str">
        <x:v>Ads / Leads / Affiliate</x:v>
      </x:c>
      <x:c r="M229" s="18" t="str">
        <x:v>Valid calculator, higher competition</x:v>
      </x:c>
    </x:row>
    <x:row r="230">
      <x:c r="A230" s="14" t="n">
        <x:v>229</x:v>
      </x:c>
      <x:c r="B230" s="18" t="str">
        <x:v>calculator zodiac</x:v>
      </x:c>
      <x:c r="C230" s="18" t="str">
        <x:v>Lifestyle &amp; Entertainment</x:v>
      </x:c>
      <x:c r="D230" s="32" t="n">
        <x:v>5400</x:v>
      </x:c>
      <x:c r="E230" s="18" t="n">
        <x:v>69</x:v>
      </x:c>
      <x:c r="F230" s="34" t="n">
        <x:v>1.42</x:v>
      </x:c>
      <x:c r="G230" s="18" t="str">
        <x:v>Yes</x:v>
      </x:c>
      <x:c r="H230" s="18" t="str">
        <x:v>Zodiac calculator</x:v>
      </x:c>
      <x:c r="I230" s="18" t="n">
        <x:v>1</x:v>
      </x:c>
      <x:c r="J230" s="18" t="str">
        <x:v>Easy</x:v>
      </x:c>
      <x:c r="K230" s="18" t="str">
        <x:v>Medium</x:v>
      </x:c>
      <x:c r="L230" s="18" t="str">
        <x:v>Ads</x:v>
      </x:c>
      <x:c r="M230" s="18" t="str">
        <x:v>Valid calculator, higher competition</x:v>
      </x:c>
    </x:row>
    <x:row r="231">
      <x:c r="A231" s="14" t="n">
        <x:v>230</x:v>
      </x:c>
      <x:c r="B231" s="18" t="str">
        <x:v>calculator work hours</x:v>
      </x:c>
      <x:c r="C231" s="18" t="str">
        <x:v>Salary, Payroll &amp; Tax</x:v>
      </x:c>
      <x:c r="D231" s="32" t="n">
        <x:v>165000</x:v>
      </x:c>
      <x:c r="E231" s="18" t="n">
        <x:v>71</x:v>
      </x:c>
      <x:c r="F231" s="34" t="n">
        <x:v>2.71</x:v>
      </x:c>
      <x:c r="G231" s="18" t="str">
        <x:v>Yes</x:v>
      </x:c>
      <x:c r="H231" s="18" t="str">
        <x:v>Time card/work hours calculator</x:v>
      </x:c>
      <x:c r="I231" s="18" t="n">
        <x:v>4</x:v>
      </x:c>
      <x:c r="J231" s="18" t="str">
        <x:v>Easy</x:v>
      </x:c>
      <x:c r="K231" s="18" t="str">
        <x:v>High</x:v>
      </x:c>
      <x:c r="L231" s="18" t="str">
        <x:v>Ads / SaaS leads</x:v>
      </x:c>
      <x:c r="M231" s="18" t="str">
        <x:v>Valid calculator, higher competition</x:v>
      </x:c>
    </x:row>
    <x:row r="232">
      <x:c r="A232" s="14" t="n">
        <x:v>231</x:v>
      </x:c>
      <x:c r="B232" s="18" t="str">
        <x:v>calculator euro to dollar</x:v>
      </x:c>
      <x:c r="C232" s="18" t="str">
        <x:v>Conversions &amp; Units</x:v>
      </x:c>
      <x:c r="D232" s="32" t="n">
        <x:v>1000</x:v>
      </x:c>
      <x:c r="E232" s="18" t="n">
        <x:v>71</x:v>
      </x:c>
      <x:c r="F232" s="34" t="n">
        <x:v>0.1</x:v>
      </x:c>
      <x:c r="G232" s="18" t="str">
        <x:v>Yes</x:v>
      </x:c>
      <x:c r="H232" s="18" t="str">
        <x:v>EUR to USD converter</x:v>
      </x:c>
      <x:c r="I232" s="18" t="n">
        <x:v>2</x:v>
      </x:c>
      <x:c r="J232" s="18" t="str">
        <x:v>Easy</x:v>
      </x:c>
      <x:c r="K232" s="18" t="str">
        <x:v>Medium</x:v>
      </x:c>
      <x:c r="L232" s="18" t="str">
        <x:v>Ads</x:v>
      </x:c>
      <x:c r="M232" s="18" t="str">
        <x:v>Valid calculator, higher competition</x:v>
      </x:c>
    </x:row>
    <x:row r="233">
      <x:c r="A233" s="14" t="n">
        <x:v>232</x:v>
      </x:c>
      <x:c r="B233" s="18" t="str">
        <x:v>calculator loan car</x:v>
      </x:c>
      <x:c r="C233" s="18" t="str">
        <x:v>Loans &amp; Auto Finance</x:v>
      </x:c>
      <x:c r="D233" s="32" t="n">
        <x:v>673000</x:v>
      </x:c>
      <x:c r="E233" s="18" t="n">
        <x:v>72</x:v>
      </x:c>
      <x:c r="F233" s="34" t="n">
        <x:v>0.6</x:v>
      </x:c>
      <x:c r="G233" s="18" t="str">
        <x:v>Yes</x:v>
      </x:c>
      <x:c r="H233" s="18" t="str">
        <x:v>Car loan/payment calculator</x:v>
      </x:c>
      <x:c r="I233" s="18" t="n">
        <x:v>6</x:v>
      </x:c>
      <x:c r="J233" s="18" t="str">
        <x:v>Medium</x:v>
      </x:c>
      <x:c r="K233" s="18" t="str">
        <x:v>High</x:v>
      </x:c>
      <x:c r="L233" s="18" t="str">
        <x:v>Leads / Ads / Affiliate</x:v>
      </x:c>
      <x:c r="M233" s="18" t="str">
        <x:v>Valid calculator, higher competition</x:v>
      </x:c>
    </x:row>
    <x:row r="234">
      <x:c r="A234" s="14" t="n">
        <x:v>233</x:v>
      </x:c>
      <x:c r="B234" s="18" t="str">
        <x:v>calculator odds</x:v>
      </x:c>
      <x:c r="C234" s="18" t="str">
        <x:v>Lifestyle &amp; Entertainment</x:v>
      </x:c>
      <x:c r="D234" s="32" t="n">
        <x:v>74000</x:v>
      </x:c>
      <x:c r="E234" s="18" t="n">
        <x:v>72</x:v>
      </x:c>
      <x:c r="F234" s="34" t="n">
        <x:v>45.68</x:v>
      </x:c>
      <x:c r="G234" s="18" t="str">
        <x:v>Yes</x:v>
      </x:c>
      <x:c r="H234" s="18" t="str">
        <x:v>Odds calculator</x:v>
      </x:c>
      <x:c r="I234" s="18" t="n">
        <x:v>1</x:v>
      </x:c>
      <x:c r="J234" s="18" t="str">
        <x:v>Easy</x:v>
      </x:c>
      <x:c r="K234" s="18" t="str">
        <x:v>Medium</x:v>
      </x:c>
      <x:c r="L234" s="18" t="str">
        <x:v>Ads</x:v>
      </x:c>
      <x:c r="M234" s="18" t="str">
        <x:v>Valid calculator, higher competition</x:v>
      </x:c>
    </x:row>
    <x:row r="235">
      <x:c r="A235" s="14" t="n">
        <x:v>234</x:v>
      </x:c>
      <x:c r="B235" s="18" t="str">
        <x:v>calculator euro to usd</x:v>
      </x:c>
      <x:c r="C235" s="18" t="str">
        <x:v>Conversions &amp; Units</x:v>
      </x:c>
      <x:c r="D235" s="32" t="n">
        <x:v>40500</x:v>
      </x:c>
      <x:c r="E235" s="18" t="n">
        <x:v>72</x:v>
      </x:c>
      <x:c r="F235" s="34" t="n">
        <x:v>0.03</x:v>
      </x:c>
      <x:c r="G235" s="18" t="str">
        <x:v>Yes</x:v>
      </x:c>
      <x:c r="H235" s="18" t="str">
        <x:v>EUR to USD converter</x:v>
      </x:c>
      <x:c r="I235" s="18" t="n">
        <x:v>2</x:v>
      </x:c>
      <x:c r="J235" s="18" t="str">
        <x:v>Easy</x:v>
      </x:c>
      <x:c r="K235" s="18" t="str">
        <x:v>High</x:v>
      </x:c>
      <x:c r="L235" s="18" t="str">
        <x:v>Ads</x:v>
      </x:c>
      <x:c r="M235" s="18" t="str">
        <x:v>Valid calculator, higher competition</x:v>
      </x:c>
    </x:row>
    <x:row r="236">
      <x:c r="A236" s="14" t="n">
        <x:v>235</x:v>
      </x:c>
      <x:c r="B236" s="18" t="str">
        <x:v>calculator large numbers</x:v>
      </x:c>
      <x:c r="C236" s="18" t="str">
        <x:v>Math &amp; Education</x:v>
      </x:c>
      <x:c r="D236" s="32" t="n">
        <x:v>6600</x:v>
      </x:c>
      <x:c r="E236" s="18" t="n">
        <x:v>72</x:v>
      </x:c>
      <x:c r="F236" s="34" t="n">
        <x:v>0.65</x:v>
      </x:c>
      <x:c r="G236" s="18" t="str">
        <x:v>Yes</x:v>
      </x:c>
      <x:c r="H236" s="18" t="str">
        <x:v>Large Numbers calculator</x:v>
      </x:c>
      <x:c r="I236" s="18" t="n">
        <x:v>1</x:v>
      </x:c>
      <x:c r="J236" s="18" t="str">
        <x:v>Easy</x:v>
      </x:c>
      <x:c r="K236" s="18" t="str">
        <x:v>Medium</x:v>
      </x:c>
      <x:c r="L236" s="18" t="str">
        <x:v>Ads / EdTech</x:v>
      </x:c>
      <x:c r="M236" s="18" t="str">
        <x:v>Valid calculator, higher competition</x:v>
      </x:c>
    </x:row>
    <x:row r="237">
      <x:c r="A237" s="14" t="n">
        <x:v>236</x:v>
      </x:c>
      <x:c r="B237" s="18" t="str">
        <x:v>calculator calories to lose weight</x:v>
      </x:c>
      <x:c r="C237" s="18" t="str">
        <x:v>Health, Nutrition &amp; Fitness</x:v>
      </x:c>
      <x:c r="D237" s="32" t="n">
        <x:v>5400</x:v>
      </x:c>
      <x:c r="E237" s="18" t="n">
        <x:v>72</x:v>
      </x:c>
      <x:c r="F237" s="34" t="n">
        <x:v>0.84</x:v>
      </x:c>
      <x:c r="G237" s="18" t="str">
        <x:v>Yes</x:v>
      </x:c>
      <x:c r="H237" s="18" t="str">
        <x:v>Calorie deficit calculator</x:v>
      </x:c>
      <x:c r="I237" s="18" t="n">
        <x:v>4</x:v>
      </x:c>
      <x:c r="J237" s="18" t="str">
        <x:v>Easy</x:v>
      </x:c>
      <x:c r="K237" s="18" t="str">
        <x:v>Medium</x:v>
      </x:c>
      <x:c r="L237" s="18" t="str">
        <x:v>Ads / Affiliate</x:v>
      </x:c>
      <x:c r="M237" s="18" t="str">
        <x:v>Valid calculator, higher competition</x:v>
      </x:c>
    </x:row>
    <x:row r="238">
      <x:c r="A238" s="14" t="n">
        <x:v>237</x:v>
      </x:c>
      <x:c r="B238" s="18" t="str">
        <x:v>calculator net mortgage</x:v>
      </x:c>
      <x:c r="C238" s="18" t="str">
        <x:v>Mortgage &amp; Real Estate</x:v>
      </x:c>
      <x:c r="D238" s="32" t="n">
        <x:v>1900</x:v>
      </x:c>
      <x:c r="E238" s="18" t="n">
        <x:v>72</x:v>
      </x:c>
      <x:c r="F238" s="34" t="n">
        <x:v>4.51</x:v>
      </x:c>
      <x:c r="G238" s="18" t="str">
        <x:v>Yes</x:v>
      </x:c>
      <x:c r="H238" s="18" t="str">
        <x:v>Mortgage payment calculator</x:v>
      </x:c>
      <x:c r="I238" s="18" t="n">
        <x:v>7</x:v>
      </x:c>
      <x:c r="J238" s="18" t="str">
        <x:v>Medium</x:v>
      </x:c>
      <x:c r="K238" s="18" t="str">
        <x:v>High</x:v>
      </x:c>
      <x:c r="L238" s="18" t="str">
        <x:v>Leads / Ads / Affiliate</x:v>
      </x:c>
      <x:c r="M238" s="18" t="str">
        <x:v>Valid calculator, higher competition</x:v>
      </x:c>
    </x:row>
    <x:row r="239">
      <x:c r="A239" s="14" t="n">
        <x:v>238</x:v>
      </x:c>
      <x:c r="B239" s="18" t="str">
        <x:v>calculator usd</x:v>
      </x:c>
      <x:c r="C239" s="18" t="str">
        <x:v>General / Other</x:v>
      </x:c>
      <x:c r="D239" s="32" t="n">
        <x:v>880</x:v>
      </x:c>
      <x:c r="E239" s="18" t="n">
        <x:v>72</x:v>
      </x:c>
      <x:c r="F239" s="34" t="n">
        <x:v>0.01</x:v>
      </x:c>
      <x:c r="G239" s="18" t="str">
        <x:v>Maybe</x:v>
      </x:c>
      <x:c r="H239" s="18" t="str">
        <x:v>Usd calculator</x:v>
      </x:c>
      <x:c r="I239" s="18" t="n">
        <x:v>1</x:v>
      </x:c>
      <x:c r="J239" s="18" t="str">
        <x:v>Easy</x:v>
      </x:c>
      <x:c r="K239" s="18" t="str">
        <x:v>High</x:v>
      </x:c>
      <x:c r="L239" s="18" t="str">
        <x:v>Ads</x:v>
      </x:c>
      <x:c r="M239" s="18" t="str">
        <x:v>Valid calculator, higher competition</x:v>
      </x:c>
    </x:row>
    <x:row r="240">
      <x:c r="A240" s="14" t="n">
        <x:v>239</x:v>
      </x:c>
      <x:c r="B240" s="18" t="str">
        <x:v>calculator to lose weight</x:v>
      </x:c>
      <x:c r="C240" s="18" t="str">
        <x:v>Health, Nutrition &amp; Fitness</x:v>
      </x:c>
      <x:c r="D240" s="32" t="n">
        <x:v>480</x:v>
      </x:c>
      <x:c r="E240" s="18" t="n">
        <x:v>72</x:v>
      </x:c>
      <x:c r="F240" s="34" t="n">
        <x:v>1.02</x:v>
      </x:c>
      <x:c r="G240" s="18" t="str">
        <x:v>Yes</x:v>
      </x:c>
      <x:c r="H240" s="18" t="str">
        <x:v>Calorie deficit calculator</x:v>
      </x:c>
      <x:c r="I240" s="18" t="n">
        <x:v>4</x:v>
      </x:c>
      <x:c r="J240" s="18" t="str">
        <x:v>Easy</x:v>
      </x:c>
      <x:c r="K240" s="18" t="str">
        <x:v>Medium</x:v>
      </x:c>
      <x:c r="L240" s="18" t="str">
        <x:v>Ads / Affiliate</x:v>
      </x:c>
      <x:c r="M240" s="18" t="str">
        <x:v>Valid calculator, higher competition</x:v>
      </x:c>
    </x:row>
    <x:row r="241">
      <x:c r="A241" s="14" t="n">
        <x:v>240</x:v>
      </x:c>
      <x:c r="B241" s="18" t="str">
        <x:v>calculator loan payment</x:v>
      </x:c>
      <x:c r="C241" s="18" t="str">
        <x:v>Loans &amp; Auto Finance</x:v>
      </x:c>
      <x:c r="D241" s="32" t="n">
        <x:v>135000</x:v>
      </x:c>
      <x:c r="E241" s="18" t="n">
        <x:v>74</x:v>
      </x:c>
      <x:c r="F241" s="34" t="n">
        <x:v>2.55</x:v>
      </x:c>
      <x:c r="G241" s="18" t="str">
        <x:v>Yes</x:v>
      </x:c>
      <x:c r="H241" s="18" t="str">
        <x:v>Loan Payment calculator</x:v>
      </x:c>
      <x:c r="I241" s="18" t="n">
        <x:v>1</x:v>
      </x:c>
      <x:c r="J241" s="18" t="str">
        <x:v>Medium</x:v>
      </x:c>
      <x:c r="K241" s="18" t="str">
        <x:v>High</x:v>
      </x:c>
      <x:c r="L241" s="18" t="str">
        <x:v>Leads / Ads / Affiliate</x:v>
      </x:c>
      <x:c r="M241" s="18" t="str">
        <x:v>Valid calculator, higher competition</x:v>
      </x:c>
    </x:row>
    <x:row r="242">
      <x:c r="A242" s="14" t="n">
        <x:v>241</x:v>
      </x:c>
      <x:c r="B242" s="18" t="str">
        <x:v>calculator between dates</x:v>
      </x:c>
      <x:c r="C242" s="18" t="str">
        <x:v>Date &amp; Time</x:v>
      </x:c>
      <x:c r="D242" s="32" t="n">
        <x:v>14800</x:v>
      </x:c>
      <x:c r="E242" s="18" t="n">
        <x:v>74</x:v>
      </x:c>
      <x:c r="F242" s="34" t="n">
        <x:v>0</x:v>
      </x:c>
      <x:c r="G242" s="18" t="str">
        <x:v>Yes</x:v>
      </x:c>
      <x:c r="H242" s="18" t="str">
        <x:v>Date difference calculator</x:v>
      </x:c>
      <x:c r="I242" s="18" t="n">
        <x:v>4</x:v>
      </x:c>
      <x:c r="J242" s="18" t="str">
        <x:v>Easy</x:v>
      </x:c>
      <x:c r="K242" s="18" t="str">
        <x:v>Medium</x:v>
      </x:c>
      <x:c r="L242" s="18" t="str">
        <x:v>Ads</x:v>
      </x:c>
      <x:c r="M242" s="18" t="str">
        <x:v>Valid calculator, higher competition</x:v>
      </x:c>
    </x:row>
    <x:row r="243">
      <x:c r="A243" s="14" t="n">
        <x:v>242</x:v>
      </x:c>
      <x:c r="B243" s="18" t="str">
        <x:v>calculator date</x:v>
      </x:c>
      <x:c r="C243" s="18" t="str">
        <x:v>Date &amp; Time</x:v>
      </x:c>
      <x:c r="D243" s="32" t="n">
        <x:v>673000</x:v>
      </x:c>
      <x:c r="E243" s="18" t="n">
        <x:v>76</x:v>
      </x:c>
      <x:c r="F243" s="34" t="n">
        <x:v>4.59</x:v>
      </x:c>
      <x:c r="G243" s="18" t="str">
        <x:v>Yes</x:v>
      </x:c>
      <x:c r="H243" s="18" t="str">
        <x:v>Date calculator</x:v>
      </x:c>
      <x:c r="I243" s="18" t="n">
        <x:v>9</x:v>
      </x:c>
      <x:c r="J243" s="18" t="str">
        <x:v>Easy</x:v>
      </x:c>
      <x:c r="K243" s="18" t="str">
        <x:v>Medium</x:v>
      </x:c>
      <x:c r="L243" s="18" t="str">
        <x:v>Ads</x:v>
      </x:c>
      <x:c r="M243" s="18" t="str">
        <x:v>Valid calculator, higher competition</x:v>
      </x:c>
    </x:row>
    <x:row r="244">
      <x:c r="A244" s="14" t="n">
        <x:v>243</x:v>
      </x:c>
      <x:c r="B244" s="18" t="str">
        <x:v>calculator home loan</x:v>
      </x:c>
      <x:c r="C244" s="18" t="str">
        <x:v>Mortgage &amp; Real Estate</x:v>
      </x:c>
      <x:c r="D244" s="32" t="n">
        <x:v>110000</x:v>
      </x:c>
      <x:c r="E244" s="18" t="n">
        <x:v>76</x:v>
      </x:c>
      <x:c r="F244" s="34" t="n">
        <x:v>3.77</x:v>
      </x:c>
      <x:c r="G244" s="18" t="str">
        <x:v>Yes</x:v>
      </x:c>
      <x:c r="H244" s="18" t="str">
        <x:v>Mortgage payment calculator</x:v>
      </x:c>
      <x:c r="I244" s="18" t="n">
        <x:v>7</x:v>
      </x:c>
      <x:c r="J244" s="18" t="str">
        <x:v>Medium</x:v>
      </x:c>
      <x:c r="K244" s="18" t="str">
        <x:v>High</x:v>
      </x:c>
      <x:c r="L244" s="18" t="str">
        <x:v>Leads / Ads / Affiliate</x:v>
      </x:c>
      <x:c r="M244" s="18" t="str">
        <x:v>Valid calculator, higher competition</x:v>
      </x:c>
    </x:row>
    <x:row r="245">
      <x:c r="A245" s="14" t="n">
        <x:v>244</x:v>
      </x:c>
      <x:c r="B245" s="18" t="str">
        <x:v>calculator between two dates</x:v>
      </x:c>
      <x:c r="C245" s="18" t="str">
        <x:v>Date &amp; Time</x:v>
      </x:c>
      <x:c r="D245" s="32" t="n">
        <x:v>14800</x:v>
      </x:c>
      <x:c r="E245" s="18" t="n">
        <x:v>76</x:v>
      </x:c>
      <x:c r="F245" s="34" t="n">
        <x:v>0.02</x:v>
      </x:c>
      <x:c r="G245" s="18" t="str">
        <x:v>Yes</x:v>
      </x:c>
      <x:c r="H245" s="18" t="str">
        <x:v>Date difference calculator</x:v>
      </x:c>
      <x:c r="I245" s="18" t="n">
        <x:v>4</x:v>
      </x:c>
      <x:c r="J245" s="18" t="str">
        <x:v>Easy</x:v>
      </x:c>
      <x:c r="K245" s="18" t="str">
        <x:v>Medium</x:v>
      </x:c>
      <x:c r="L245" s="18" t="str">
        <x:v>Ads</x:v>
      </x:c>
      <x:c r="M245" s="18" t="str">
        <x:v>Valid calculator, higher competition</x:v>
      </x:c>
    </x:row>
    <x:row r="246">
      <x:c r="A246" s="14" t="n">
        <x:v>245</x:v>
      </x:c>
      <x:c r="B246" s="18" t="str">
        <x:v>calculator estimate</x:v>
      </x:c>
      <x:c r="C246" s="18" t="str">
        <x:v>General / Other</x:v>
      </x:c>
      <x:c r="D246" s="32" t="n">
        <x:v>210</x:v>
      </x:c>
      <x:c r="E246" s="18" t="n">
        <x:v>76</x:v>
      </x:c>
      <x:c r="F246" s="34" t="n">
        <x:v>1.09</x:v>
      </x:c>
      <x:c r="G246" s="18" t="str">
        <x:v>Maybe</x:v>
      </x:c>
      <x:c r="H246" s="18" t="str">
        <x:v>Estimate calculator</x:v>
      </x:c>
      <x:c r="I246" s="18" t="n">
        <x:v>1</x:v>
      </x:c>
      <x:c r="J246" s="18" t="str">
        <x:v>Easy</x:v>
      </x:c>
      <x:c r="K246" s="18" t="str">
        <x:v>Medium</x:v>
      </x:c>
      <x:c r="L246" s="18" t="str">
        <x:v>Ads</x:v>
      </x:c>
      <x:c r="M246" s="18" t="str">
        <x:v>Valid calculator, higher competition</x:v>
      </x:c>
    </x:row>
    <x:row r="247">
      <x:c r="A247" s="14" t="n">
        <x:v>246</x:v>
      </x:c>
      <x:c r="B247" s="18" t="str">
        <x:v>calculator house payment</x:v>
      </x:c>
      <x:c r="C247" s="18" t="str">
        <x:v>Mortgage &amp; Real Estate</x:v>
      </x:c>
      <x:c r="D247" s="32" t="n">
        <x:v>49500</x:v>
      </x:c>
      <x:c r="E247" s="18" t="n">
        <x:v>78</x:v>
      </x:c>
      <x:c r="F247" s="34" t="n">
        <x:v>1.25</x:v>
      </x:c>
      <x:c r="G247" s="18" t="str">
        <x:v>Yes</x:v>
      </x:c>
      <x:c r="H247" s="18" t="str">
        <x:v>Mortgage payment calculator</x:v>
      </x:c>
      <x:c r="I247" s="18" t="n">
        <x:v>7</x:v>
      </x:c>
      <x:c r="J247" s="18" t="str">
        <x:v>Easy</x:v>
      </x:c>
      <x:c r="K247" s="18" t="str">
        <x:v>High</x:v>
      </x:c>
      <x:c r="L247" s="18" t="str">
        <x:v>Leads / Ads / Affiliate</x:v>
      </x:c>
      <x:c r="M247" s="18" t="str">
        <x:v>Valid calculator, higher competition</x:v>
      </x:c>
    </x:row>
    <x:row r="248">
      <x:c r="A248" s="14" t="n">
        <x:v>247</x:v>
      </x:c>
      <x:c r="B248" s="18" t="str">
        <x:v>calculator years</x:v>
      </x:c>
      <x:c r="C248" s="18" t="str">
        <x:v>Date &amp; Time</x:v>
      </x:c>
      <x:c r="D248" s="32" t="n">
        <x:v>9900</x:v>
      </x:c>
      <x:c r="E248" s="18" t="n">
        <x:v>78</x:v>
      </x:c>
      <x:c r="F248" s="34" t="n">
        <x:v>0.04</x:v>
      </x:c>
      <x:c r="G248" s="18" t="str">
        <x:v>Yes</x:v>
      </x:c>
      <x:c r="H248" s="18" t="str">
        <x:v>Years calculator</x:v>
      </x:c>
      <x:c r="I248" s="18" t="n">
        <x:v>1</x:v>
      </x:c>
      <x:c r="J248" s="18" t="str">
        <x:v>Easy</x:v>
      </x:c>
      <x:c r="K248" s="18" t="str">
        <x:v>Medium</x:v>
      </x:c>
      <x:c r="L248" s="18" t="str">
        <x:v>Ads</x:v>
      </x:c>
      <x:c r="M248" s="18" t="str">
        <x:v>Valid calculator, higher competition</x:v>
      </x:c>
    </x:row>
    <x:row r="249">
      <x:c r="A249" s="14" t="n">
        <x:v>248</x:v>
      </x:c>
      <x:c r="B249" s="18" t="str">
        <x:v>calculator for buying a house</x:v>
      </x:c>
      <x:c r="C249" s="18" t="str">
        <x:v>Mortgage &amp; Real Estate</x:v>
      </x:c>
      <x:c r="D249" s="32" t="n">
        <x:v>8100</x:v>
      </x:c>
      <x:c r="E249" s="18" t="n">
        <x:v>79</x:v>
      </x:c>
      <x:c r="F249" s="34" t="n">
        <x:v>4.57</x:v>
      </x:c>
      <x:c r="G249" s="18" t="str">
        <x:v>Yes</x:v>
      </x:c>
      <x:c r="H249" s="18" t="str">
        <x:v>Buying A House calculator</x:v>
      </x:c>
      <x:c r="I249" s="18" t="n">
        <x:v>1</x:v>
      </x:c>
      <x:c r="J249" s="18" t="str">
        <x:v>Easy</x:v>
      </x:c>
      <x:c r="K249" s="18" t="str">
        <x:v>High</x:v>
      </x:c>
      <x:c r="L249" s="18" t="str">
        <x:v>Leads / Ads / Affiliate</x:v>
      </x:c>
      <x:c r="M249" s="18" t="str">
        <x:v>Valid calculator, higher competition</x:v>
      </x:c>
    </x:row>
    <x:row r="250">
      <x:c r="A250" s="14" t="n">
        <x:v>249</x:v>
      </x:c>
      <x:c r="B250" s="18" t="str">
        <x:v>calculator numbers</x:v>
      </x:c>
      <x:c r="C250" s="18" t="str">
        <x:v>General / Other</x:v>
      </x:c>
      <x:c r="D250" s="32" t="n">
        <x:v>1300</x:v>
      </x:c>
      <x:c r="E250" s="18" t="n">
        <x:v>79</x:v>
      </x:c>
      <x:c r="F250" s="34" t="n">
        <x:v>0.65</x:v>
      </x:c>
      <x:c r="G250" s="18" t="str">
        <x:v>Maybe</x:v>
      </x:c>
      <x:c r="H250" s="18" t="str">
        <x:v>Numbers calculator</x:v>
      </x:c>
      <x:c r="I250" s="18" t="n">
        <x:v>1</x:v>
      </x:c>
      <x:c r="J250" s="18" t="str">
        <x:v>Easy</x:v>
      </x:c>
      <x:c r="K250" s="18" t="str">
        <x:v>Medium</x:v>
      </x:c>
      <x:c r="L250" s="18" t="str">
        <x:v>Ads</x:v>
      </x:c>
      <x:c r="M250" s="18" t="str">
        <x:v>Valid calculator, higher competition</x:v>
      </x:c>
    </x:row>
    <x:row r="251">
      <x:c r="A251" s="14" t="n">
        <x:v>250</x:v>
      </x:c>
      <x:c r="B251" s="18" t="str">
        <x:v>calculator investment</x:v>
      </x:c>
      <x:c r="C251" s="18" t="str">
        <x:v>Personal Finance &amp; Investing</x:v>
      </x:c>
      <x:c r="D251" s="32" t="n">
        <x:v>450000</x:v>
      </x:c>
      <x:c r="E251" s="18" t="n">
        <x:v>80</x:v>
      </x:c>
      <x:c r="F251" s="34" t="n">
        <x:v>2.54</x:v>
      </x:c>
      <x:c r="G251" s="18" t="str">
        <x:v>Yes</x:v>
      </x:c>
      <x:c r="H251" s="18" t="str">
        <x:v>Investment calculator</x:v>
      </x:c>
      <x:c r="I251" s="18" t="n">
        <x:v>1</x:v>
      </x:c>
      <x:c r="J251" s="18" t="str">
        <x:v>Complex</x:v>
      </x:c>
      <x:c r="K251" s="18" t="str">
        <x:v>High</x:v>
      </x:c>
      <x:c r="L251" s="18" t="str">
        <x:v>Ads / Leads / Affiliate</x:v>
      </x:c>
      <x:c r="M251" s="18" t="str">
        <x:v>Valid calculator, higher competition</x:v>
      </x:c>
    </x:row>
    <x:row r="252">
      <x:c r="A252" s="14" t="n">
        <x:v>251</x:v>
      </x:c>
      <x:c r="B252" s="18" t="str">
        <x:v>calculator monthly payment</x:v>
      </x:c>
      <x:c r="C252" s="18" t="str">
        <x:v>Loans &amp; Auto Finance</x:v>
      </x:c>
      <x:c r="D252" s="32" t="n">
        <x:v>33100</x:v>
      </x:c>
      <x:c r="E252" s="18" t="n">
        <x:v>81</x:v>
      </x:c>
      <x:c r="F252" s="34" t="n">
        <x:v>1.08</x:v>
      </x:c>
      <x:c r="G252" s="18" t="str">
        <x:v>Yes</x:v>
      </x:c>
      <x:c r="H252" s="18" t="str">
        <x:v>Monthly Payment calculator</x:v>
      </x:c>
      <x:c r="I252" s="18" t="n">
        <x:v>1</x:v>
      </x:c>
      <x:c r="J252" s="18" t="str">
        <x:v>Easy</x:v>
      </x:c>
      <x:c r="K252" s="18" t="str">
        <x:v>High</x:v>
      </x:c>
      <x:c r="L252" s="18" t="str">
        <x:v>Leads / Ads / Affiliate</x:v>
      </x:c>
      <x:c r="M252" s="18" t="str">
        <x:v>Valid calculator, higher competition</x:v>
      </x:c>
    </x:row>
    <x:row r="253">
      <x:c r="A253" s="14" t="n">
        <x:v>252</x:v>
      </x:c>
      <x:c r="B253" s="18" t="str">
        <x:v>calculator date and time</x:v>
      </x:c>
      <x:c r="C253" s="18" t="str">
        <x:v>Date &amp; Time</x:v>
      </x:c>
      <x:c r="D253" s="32" t="n">
        <x:v>110000</x:v>
      </x:c>
      <x:c r="E253" s="18" t="n">
        <x:v>82</x:v>
      </x:c>
      <x:c r="F253" s="34" t="n">
        <x:v>0</x:v>
      </x:c>
      <x:c r="G253" s="18" t="str">
        <x:v>Yes</x:v>
      </x:c>
      <x:c r="H253" s="18" t="str">
        <x:v>Date calculator</x:v>
      </x:c>
      <x:c r="I253" s="18" t="n">
        <x:v>9</x:v>
      </x:c>
      <x:c r="J253" s="18" t="str">
        <x:v>Easy</x:v>
      </x:c>
      <x:c r="K253" s="18" t="str">
        <x:v>Medium</x:v>
      </x:c>
      <x:c r="L253" s="18" t="str">
        <x:v>Ads</x:v>
      </x:c>
      <x:c r="M253" s="18" t="str">
        <x:v>Valid calculator, higher competition</x:v>
      </x:c>
    </x:row>
    <x:row r="254">
      <x:c r="A254" s="14" t="n">
        <x:v>253</x:v>
      </x:c>
      <x:c r="B254" s="18" t="str">
        <x:v>calculator calories</x:v>
      </x:c>
      <x:c r="C254" s="18" t="str">
        <x:v>Health, Nutrition &amp; Fitness</x:v>
      </x:c>
      <x:c r="D254" s="32" t="n">
        <x:v>1000000</x:v>
      </x:c>
      <x:c r="E254" s="18" t="n">
        <x:v>86</x:v>
      </x:c>
      <x:c r="F254" s="34" t="n">
        <x:v>1.64</x:v>
      </x:c>
      <x:c r="G254" s="18" t="str">
        <x:v>Yes</x:v>
      </x:c>
      <x:c r="H254" s="18" t="str">
        <x:v>Calorie calculator</x:v>
      </x:c>
      <x:c r="I254" s="18" t="n">
        <x:v>3</x:v>
      </x:c>
      <x:c r="J254" s="18" t="str">
        <x:v>Easy</x:v>
      </x:c>
      <x:c r="K254" s="18" t="str">
        <x:v>Medium</x:v>
      </x:c>
      <x:c r="L254" s="18" t="str">
        <x:v>Ads / Affiliate</x:v>
      </x:c>
      <x:c r="M254" s="18" t="str">
        <x:v>Valid calculator, higher competition</x:v>
      </x:c>
    </x:row>
    <x:row r="255">
      <x:c r="A255" s="14" t="n">
        <x:v>254</x:v>
      </x:c>
      <x:c r="B255" s="18" t="str">
        <x:v>calculator</x:v>
      </x:c>
      <x:c r="C255" s="18" t="str">
        <x:v>General / Other</x:v>
      </x:c>
      <x:c r="D255" s="32" t="n">
        <x:v>30400000</x:v>
      </x:c>
      <x:c r="E255" s="18" t="n">
        <x:v>88</x:v>
      </x:c>
      <x:c r="F255" s="34" t="n">
        <x:v>1.46</x:v>
      </x:c>
      <x:c r="G255" s="18" t="str">
        <x:v>Maybe</x:v>
      </x:c>
      <x:c r="H255" s="18" t="str"/>
      <x:c r="I255" s="18" t="n">
        <x:v>0</x:v>
      </x:c>
      <x:c r="J255" s="18" t="str">
        <x:v>Easy</x:v>
      </x:c>
      <x:c r="K255" s="18" t="str">
        <x:v>Medium</x:v>
      </x:c>
      <x:c r="L255" s="18" t="str">
        <x:v>Ads</x:v>
      </x:c>
      <x:c r="M255" s="18" t="str">
        <x:v>Valid calculator, higher competition</x:v>
      </x:c>
    </x:row>
  </x:sheetData>
  <x:conditionalFormatting sqref="E2:E255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de58f750ceb42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28" hidden="0" customWidth="1"/>
    <x:col min="5" max="5" width="14" hidden="0" customWidth="1"/>
    <x:col min="6" max="6" width="18" hidden="0" customWidth="1"/>
    <x:col min="7" max="7" width="13" hidden="0" customWidth="1"/>
    <x:col min="8" max="8" width="14" hidden="0" customWidth="1"/>
    <x:col min="9" max="9" width="18" hidden="0" customWidth="1"/>
    <x:col min="10" max="10" width="13" hidden="0" customWidth="1"/>
    <x:col min="11" max="11" width="24" hidden="0" customWidth="1"/>
    <x:col min="12" max="12" width="14" hidden="0" customWidth="1"/>
    <x:col min="13" max="13" width="14" hidden="0" customWidth="1"/>
  </x:cols>
  <x:sheetData>
    <x:row r="1">
      <x:c r="A1" s="8" t="str">
        <x:v>Priority Rank</x:v>
      </x:c>
      <x:c r="B1" s="8" t="str">
        <x:v>Calculator Opportunity</x:v>
      </x:c>
      <x:c r="C1" s="8" t="str">
        <x:v>Best Keyword</x:v>
      </x:c>
      <x:c r="D1" s="8" t="str">
        <x:v>Category</x:v>
      </x:c>
      <x:c r="E1" s="8" t="str">
        <x:v>Best SEO Difficulty</x:v>
      </x:c>
      <x:c r="F1" s="8" t="str">
        <x:v>Combined Search Volume*</x:v>
      </x:c>
      <x:c r="G1" s="8" t="str">
        <x:v>Max CPC (USD)</x:v>
      </x:c>
      <x:c r="H1" s="8" t="str">
        <x:v>Keyword Variants</x:v>
      </x:c>
      <x:c r="I1" s="8" t="str">
        <x:v>Development Complexity</x:v>
      </x:c>
      <x:c r="J1" s="8" t="str">
        <x:v>US Relevance</x:v>
      </x:c>
      <x:c r="K1" s="8" t="str">
        <x:v>Monetization</x:v>
      </x:c>
      <x:c r="L1" s="8" t="str">
        <x:v>Priority Score</x:v>
      </x:c>
      <x:c r="M1" s="8" t="str">
        <x:v>Decision</x:v>
      </x:c>
    </x:row>
    <x:row r="2">
      <x:c r="A2" s="14" t="n">
        <x:v>1</x:v>
      </x:c>
      <x:c r="B2" s="18" t="str">
        <x:v>Discount/percentage-off calculator</x:v>
      </x:c>
      <x:c r="C2" s="18" t="str">
        <x:v>calculator 30 percent off</x:v>
      </x:c>
      <x:c r="D2" s="18" t="str">
        <x:v>Math &amp; Education</x:v>
      </x:c>
      <x:c r="E2" s="18" t="n">
        <x:v>4</x:v>
      </x:c>
      <x:c r="F2" s="32" t="n">
        <x:v>81000</x:v>
      </x:c>
      <x:c r="G2" s="34" t="n">
        <x:v>6.89</x:v>
      </x:c>
      <x:c r="H2" s="18" t="n">
        <x:v>3</x:v>
      </x:c>
      <x:c r="I2" s="18" t="str">
        <x:v>Easy</x:v>
      </x:c>
      <x:c r="J2" s="18" t="str">
        <x:v>Medium</x:v>
      </x:c>
      <x:c r="K2" s="18" t="str">
        <x:v>Ads / EdTech</x:v>
      </x:c>
      <x:c r="L2" s="36" t="n">
        <x:v>95</x:v>
      </x:c>
      <x:c r="M2" s="18" t="str">
        <x:v>Build first</x:v>
      </x:c>
    </x:row>
    <x:row r="3">
      <x:c r="A3" s="14" t="n">
        <x:v>2</x:v>
      </x:c>
      <x:c r="B3" s="18" t="str">
        <x:v>Date calculator</x:v>
      </x:c>
      <x:c r="C3" s="18" t="str">
        <x:v>calculator 60 days from date</x:v>
      </x:c>
      <x:c r="D3" s="18" t="str">
        <x:v>Date &amp; Time</x:v>
      </x:c>
      <x:c r="E3" s="18" t="n">
        <x:v>4</x:v>
      </x:c>
      <x:c r="F3" s="32" t="n">
        <x:v>783400</x:v>
      </x:c>
      <x:c r="G3" s="34" t="n">
        <x:v>4.59</x:v>
      </x:c>
      <x:c r="H3" s="18" t="n">
        <x:v>9</x:v>
      </x:c>
      <x:c r="I3" s="18" t="str">
        <x:v>Easy</x:v>
      </x:c>
      <x:c r="J3" s="18" t="str">
        <x:v>Medium</x:v>
      </x:c>
      <x:c r="K3" s="18" t="str">
        <x:v>Ads</x:v>
      </x:c>
      <x:c r="L3" s="36" t="n">
        <x:v>94.5</x:v>
      </x:c>
      <x:c r="M3" s="18" t="str">
        <x:v>Build first</x:v>
      </x:c>
    </x:row>
    <x:row r="4">
      <x:c r="A4" s="14" t="n">
        <x:v>3</x:v>
      </x:c>
      <x:c r="B4" s="18" t="str">
        <x:v>Mortgage payment calculator</x:v>
      </x:c>
      <x:c r="C4" s="18" t="str">
        <x:v>calculator extra mortgage payments</x:v>
      </x:c>
      <x:c r="D4" s="18" t="str">
        <x:v>Mortgage &amp; Real Estate</x:v>
      </x:c>
      <x:c r="E4" s="18" t="n">
        <x:v>16</x:v>
      </x:c>
      <x:c r="F4" s="32" t="n">
        <x:v>225380</x:v>
      </x:c>
      <x:c r="G4" s="34" t="n">
        <x:v>4.51</x:v>
      </x:c>
      <x:c r="H4" s="18" t="n">
        <x:v>7</x:v>
      </x:c>
      <x:c r="I4" s="18" t="str">
        <x:v>Medium</x:v>
      </x:c>
      <x:c r="J4" s="18" t="str">
        <x:v>High</x:v>
      </x:c>
      <x:c r="K4" s="18" t="str">
        <x:v>Leads / Ads / Affiliate</x:v>
      </x:c>
      <x:c r="L4" s="36" t="n">
        <x:v>85.7</x:v>
      </x:c>
      <x:c r="M4" s="18" t="str">
        <x:v>Build first</x:v>
      </x:c>
    </x:row>
    <x:row r="5">
      <x:c r="A5" s="14" t="n">
        <x:v>4</x:v>
      </x:c>
      <x:c r="B5" s="18" t="str">
        <x:v>Time card/work hours calculator</x:v>
      </x:c>
      <x:c r="C5" s="18" t="str">
        <x:v>calculator soup time card</x:v>
      </x:c>
      <x:c r="D5" s="18" t="str">
        <x:v>Salary, Payroll &amp; Tax</x:v>
      </x:c>
      <x:c r="E5" s="18" t="n">
        <x:v>54</x:v>
      </x:c>
      <x:c r="F5" s="32" t="n">
        <x:v>374300</x:v>
      </x:c>
      <x:c r="G5" s="34" t="n">
        <x:v>8.71</x:v>
      </x:c>
      <x:c r="H5" s="18" t="n">
        <x:v>4</x:v>
      </x:c>
      <x:c r="I5" s="18" t="str">
        <x:v>Easy</x:v>
      </x:c>
      <x:c r="J5" s="18" t="str">
        <x:v>High</x:v>
      </x:c>
      <x:c r="K5" s="18" t="str">
        <x:v>Ads / SaaS leads</x:v>
      </x:c>
      <x:c r="L5" s="36" t="n">
        <x:v>80.7</x:v>
      </x:c>
      <x:c r="M5" s="18" t="str">
        <x:v>Build first</x:v>
      </x:c>
    </x:row>
    <x:row r="6">
      <x:c r="A6" s="14" t="n">
        <x:v>5</x:v>
      </x:c>
      <x:c r="B6" s="18" t="str">
        <x:v>Cd Interest calculator</x:v>
      </x:c>
      <x:c r="C6" s="18" t="str">
        <x:v>calculator for cd interest</x:v>
      </x:c>
      <x:c r="D6" s="18" t="str">
        <x:v>General / Other</x:v>
      </x:c>
      <x:c r="E6" s="18" t="n">
        <x:v>28</x:v>
      </x:c>
      <x:c r="F6" s="32" t="n">
        <x:v>33100</x:v>
      </x:c>
      <x:c r="G6" s="34" t="n">
        <x:v>3.98</x:v>
      </x:c>
      <x:c r="H6" s="18" t="n">
        <x:v>1</x:v>
      </x:c>
      <x:c r="I6" s="18" t="str">
        <x:v>Easy</x:v>
      </x:c>
      <x:c r="J6" s="18" t="str">
        <x:v>Medium</x:v>
      </x:c>
      <x:c r="K6" s="18" t="str">
        <x:v>Ads</x:v>
      </x:c>
      <x:c r="L6" s="36" t="n">
        <x:v>76.9</x:v>
      </x:c>
      <x:c r="M6" s="18" t="str">
        <x:v>Build first</x:v>
      </x:c>
    </x:row>
    <x:row r="7">
      <x:c r="A7" s="14" t="n">
        <x:v>6</x:v>
      </x:c>
      <x:c r="B7" s="18" t="str">
        <x:v>Home Equity Loan calculator</x:v>
      </x:c>
      <x:c r="C7" s="18" t="str">
        <x:v>calculator home equity loan</x:v>
      </x:c>
      <x:c r="D7" s="18" t="str">
        <x:v>Mortgage &amp; Real Estate</x:v>
      </x:c>
      <x:c r="E7" s="18" t="n">
        <x:v>45</x:v>
      </x:c>
      <x:c r="F7" s="32" t="n">
        <x:v>74000</x:v>
      </x:c>
      <x:c r="G7" s="34" t="n">
        <x:v>8.13</x:v>
      </x:c>
      <x:c r="H7" s="18" t="n">
        <x:v>1</x:v>
      </x:c>
      <x:c r="I7" s="18" t="str">
        <x:v>Complex</x:v>
      </x:c>
      <x:c r="J7" s="18" t="str">
        <x:v>High</x:v>
      </x:c>
      <x:c r="K7" s="18" t="str">
        <x:v>Leads / Ads / Affiliate</x:v>
      </x:c>
      <x:c r="L7" s="36" t="n">
        <x:v>72.8</x:v>
      </x:c>
      <x:c r="M7" s="18" t="str">
        <x:v>Build first</x:v>
      </x:c>
    </x:row>
    <x:row r="8">
      <x:c r="A8" s="14" t="n">
        <x:v>7</x:v>
      </x:c>
      <x:c r="B8" s="18" t="str">
        <x:v>Loan Interest calculator</x:v>
      </x:c>
      <x:c r="C8" s="18" t="str">
        <x:v>calculator loan interest</x:v>
      </x:c>
      <x:c r="D8" s="18" t="str">
        <x:v>Loans &amp; Auto Finance</x:v>
      </x:c>
      <x:c r="E8" s="18" t="n">
        <x:v>27</x:v>
      </x:c>
      <x:c r="F8" s="32" t="n">
        <x:v>27100</x:v>
      </x:c>
      <x:c r="G8" s="34" t="n">
        <x:v>2.34</x:v>
      </x:c>
      <x:c r="H8" s="18" t="n">
        <x:v>1</x:v>
      </x:c>
      <x:c r="I8" s="18" t="str">
        <x:v>Medium</x:v>
      </x:c>
      <x:c r="J8" s="18" t="str">
        <x:v>High</x:v>
      </x:c>
      <x:c r="K8" s="18" t="str">
        <x:v>Leads / Ads / Affiliate</x:v>
      </x:c>
      <x:c r="L8" s="36" t="n">
        <x:v>72.1</x:v>
      </x:c>
      <x:c r="M8" s="18" t="str">
        <x:v>Build first</x:v>
      </x:c>
    </x:row>
    <x:row r="9">
      <x:c r="A9" s="14" t="n">
        <x:v>8</x:v>
      </x:c>
      <x:c r="B9" s="18" t="str">
        <x:v>Yards Of Concrete calculator</x:v>
      </x:c>
      <x:c r="C9" s="18" t="str">
        <x:v>calculator yards of concrete</x:v>
      </x:c>
      <x:c r="D9" s="18" t="str">
        <x:v>Construction &amp; Home Improvement</x:v>
      </x:c>
      <x:c r="E9" s="18" t="n">
        <x:v>12</x:v>
      </x:c>
      <x:c r="F9" s="32" t="n">
        <x:v>18100</x:v>
      </x:c>
      <x:c r="G9" s="34" t="n">
        <x:v>0.06</x:v>
      </x:c>
      <x:c r="H9" s="18" t="n">
        <x:v>1</x:v>
      </x:c>
      <x:c r="I9" s="18" t="str">
        <x:v>Medium</x:v>
      </x:c>
      <x:c r="J9" s="18" t="str">
        <x:v>Medium</x:v>
      </x:c>
      <x:c r="K9" s="18" t="str">
        <x:v>Ads / Local leads / Affiliate</x:v>
      </x:c>
      <x:c r="L9" s="36" t="n">
        <x:v>71.8</x:v>
      </x:c>
      <x:c r="M9" s="18" t="str">
        <x:v>Build first</x:v>
      </x:c>
    </x:row>
    <x:row r="10">
      <x:c r="A10" s="14" t="n">
        <x:v>9</x:v>
      </x:c>
      <x:c r="B10" s="18" t="str">
        <x:v>Date difference calculator</x:v>
      </x:c>
      <x:c r="C10" s="18" t="str">
        <x:v>calculator days between</x:v>
      </x:c>
      <x:c r="D10" s="18" t="str">
        <x:v>Date &amp; Time</x:v>
      </x:c>
      <x:c r="E10" s="18" t="n">
        <x:v>35</x:v>
      </x:c>
      <x:c r="F10" s="32" t="n">
        <x:v>104080</x:v>
      </x:c>
      <x:c r="G10" s="34" t="n">
        <x:v>0.98</x:v>
      </x:c>
      <x:c r="H10" s="18" t="n">
        <x:v>4</x:v>
      </x:c>
      <x:c r="I10" s="18" t="str">
        <x:v>Easy</x:v>
      </x:c>
      <x:c r="J10" s="18" t="str">
        <x:v>Medium</x:v>
      </x:c>
      <x:c r="K10" s="18" t="str">
        <x:v>Ads</x:v>
      </x:c>
      <x:c r="L10" s="36" t="n">
        <x:v>71</x:v>
      </x:c>
      <x:c r="M10" s="18" t="str">
        <x:v>Build first</x:v>
      </x:c>
    </x:row>
    <x:row r="11">
      <x:c r="A11" s="14" t="n">
        <x:v>10</x:v>
      </x:c>
      <x:c r="B11" s="18" t="str">
        <x:v>Square Feet calculator</x:v>
      </x:c>
      <x:c r="C11" s="18" t="str">
        <x:v>calculator square feet</x:v>
      </x:c>
      <x:c r="D11" s="18" t="str">
        <x:v>Construction &amp; Home Improvement</x:v>
      </x:c>
      <x:c r="E11" s="18" t="n">
        <x:v>48</x:v>
      </x:c>
      <x:c r="F11" s="32" t="n">
        <x:v>246000</x:v>
      </x:c>
      <x:c r="G11" s="34" t="n">
        <x:v>2.9</x:v>
      </x:c>
      <x:c r="H11" s="18" t="n">
        <x:v>1</x:v>
      </x:c>
      <x:c r="I11" s="18" t="str">
        <x:v>Easy</x:v>
      </x:c>
      <x:c r="J11" s="18" t="str">
        <x:v>Medium</x:v>
      </x:c>
      <x:c r="K11" s="18" t="str">
        <x:v>Ads / Local leads / Affiliate</x:v>
      </x:c>
      <x:c r="L11" s="36" t="n">
        <x:v>70.8</x:v>
      </x:c>
      <x:c r="M11" s="18" t="str">
        <x:v>Build first</x:v>
      </x:c>
    </x:row>
    <x:row r="12">
      <x:c r="A12" s="14" t="n">
        <x:v>11</x:v>
      </x:c>
      <x:c r="B12" s="18" t="str">
        <x:v>Calorie calculator</x:v>
      </x:c>
      <x:c r="C12" s="18" t="str">
        <x:v>calculator maintenance calories</x:v>
      </x:c>
      <x:c r="D12" s="18" t="str">
        <x:v>Health, Nutrition &amp; Fitness</x:v>
      </x:c>
      <x:c r="E12" s="18" t="n">
        <x:v>46</x:v>
      </x:c>
      <x:c r="F12" s="32" t="n">
        <x:v>1112900</x:v>
      </x:c>
      <x:c r="G12" s="34" t="n">
        <x:v>1.64</x:v>
      </x:c>
      <x:c r="H12" s="18" t="n">
        <x:v>3</x:v>
      </x:c>
      <x:c r="I12" s="18" t="str">
        <x:v>Easy</x:v>
      </x:c>
      <x:c r="J12" s="18" t="str">
        <x:v>Medium</x:v>
      </x:c>
      <x:c r="K12" s="18" t="str">
        <x:v>Ads / Affiliate</x:v>
      </x:c>
      <x:c r="L12" s="36" t="n">
        <x:v>70.3</x:v>
      </x:c>
      <x:c r="M12" s="18" t="str">
        <x:v>Build first</x:v>
      </x:c>
    </x:row>
    <x:row r="13">
      <x:c r="A13" s="14" t="n">
        <x:v>12</x:v>
      </x:c>
      <x:c r="B13" s="18" t="str">
        <x:v>Quadratic equation calculator</x:v>
      </x:c>
      <x:c r="C13" s="18" t="str">
        <x:v>calculator quadratic</x:v>
      </x:c>
      <x:c r="D13" s="18" t="str">
        <x:v>Math &amp; Education</x:v>
      </x:c>
      <x:c r="E13" s="18" t="n">
        <x:v>46</x:v>
      </x:c>
      <x:c r="F13" s="32" t="n">
        <x:v>76100</x:v>
      </x:c>
      <x:c r="G13" s="34" t="n">
        <x:v>3.01</x:v>
      </x:c>
      <x:c r="H13" s="18" t="n">
        <x:v>3</x:v>
      </x:c>
      <x:c r="I13" s="18" t="str">
        <x:v>Easy</x:v>
      </x:c>
      <x:c r="J13" s="18" t="str">
        <x:v>Medium</x:v>
      </x:c>
      <x:c r="K13" s="18" t="str">
        <x:v>Ads / EdTech</x:v>
      </x:c>
      <x:c r="L13" s="36" t="n">
        <x:v>69.1</x:v>
      </x:c>
      <x:c r="M13" s="18" t="str">
        <x:v>Second wave</x:v>
      </x:c>
    </x:row>
    <x:row r="14">
      <x:c r="A14" s="14" t="n">
        <x:v>13</x:v>
      </x:c>
      <x:c r="B14" s="18" t="str">
        <x:v>Retirement Savings calculator</x:v>
      </x:c>
      <x:c r="C14" s="18" t="str">
        <x:v>calculator retirement savings</x:v>
      </x:c>
      <x:c r="D14" s="18" t="str">
        <x:v>Personal Finance &amp; Investing</x:v>
      </x:c>
      <x:c r="E14" s="18" t="n">
        <x:v>26</x:v>
      </x:c>
      <x:c r="F14" s="32" t="n">
        <x:v>18100</x:v>
      </x:c>
      <x:c r="G14" s="34" t="n">
        <x:v>2.47</x:v>
      </x:c>
      <x:c r="H14" s="18" t="n">
        <x:v>1</x:v>
      </x:c>
      <x:c r="I14" s="18" t="str">
        <x:v>Complex</x:v>
      </x:c>
      <x:c r="J14" s="18" t="str">
        <x:v>High</x:v>
      </x:c>
      <x:c r="K14" s="18" t="str">
        <x:v>Ads / Leads / Affiliate</x:v>
      </x:c>
      <x:c r="L14" s="36" t="n">
        <x:v>67.9</x:v>
      </x:c>
      <x:c r="M14" s="18" t="str">
        <x:v>Second wave</x:v>
      </x:c>
    </x:row>
    <x:row r="15">
      <x:c r="A15" s="14" t="n">
        <x:v>14</x:v>
      </x:c>
      <x:c r="B15" s="18" t="str">
        <x:v>Concrete calculator</x:v>
      </x:c>
      <x:c r="C15" s="18" t="str">
        <x:v>calculator for concrete</x:v>
      </x:c>
      <x:c r="D15" s="18" t="str">
        <x:v>Construction &amp; Home Improvement</x:v>
      </x:c>
      <x:c r="E15" s="18" t="n">
        <x:v>43</x:v>
      </x:c>
      <x:c r="F15" s="32" t="n">
        <x:v>550000</x:v>
      </x:c>
      <x:c r="G15" s="34" t="n">
        <x:v>1.59</x:v>
      </x:c>
      <x:c r="H15" s="18" t="n">
        <x:v>1</x:v>
      </x:c>
      <x:c r="I15" s="18" t="str">
        <x:v>Medium</x:v>
      </x:c>
      <x:c r="J15" s="18" t="str">
        <x:v>Medium</x:v>
      </x:c>
      <x:c r="K15" s="18" t="str">
        <x:v>Ads / Local leads / Affiliate</x:v>
      </x:c>
      <x:c r="L15" s="36" t="n">
        <x:v>67.5</x:v>
      </x:c>
      <x:c r="M15" s="18" t="str">
        <x:v>Second wave</x:v>
      </x:c>
    </x:row>
    <x:row r="16">
      <x:c r="A16" s="14" t="n">
        <x:v>15</x:v>
      </x:c>
      <x:c r="B16" s="18" t="str">
        <x:v>Roth Ira calculator</x:v>
      </x:c>
      <x:c r="C16" s="18" t="str">
        <x:v>calculator roth ira</x:v>
      </x:c>
      <x:c r="D16" s="18" t="str">
        <x:v>Personal Finance &amp; Investing</x:v>
      </x:c>
      <x:c r="E16" s="18" t="n">
        <x:v>45</x:v>
      </x:c>
      <x:c r="F16" s="32" t="n">
        <x:v>135000</x:v>
      </x:c>
      <x:c r="G16" s="34" t="n">
        <x:v>2.12</x:v>
      </x:c>
      <x:c r="H16" s="18" t="n">
        <x:v>1</x:v>
      </x:c>
      <x:c r="I16" s="18" t="str">
        <x:v>Medium</x:v>
      </x:c>
      <x:c r="J16" s="18" t="str">
        <x:v>High</x:v>
      </x:c>
      <x:c r="K16" s="18" t="str">
        <x:v>Ads / Leads / Affiliate</x:v>
      </x:c>
      <x:c r="L16" s="36" t="n">
        <x:v>67.1</x:v>
      </x:c>
      <x:c r="M16" s="18" t="str">
        <x:v>Second wave</x:v>
      </x:c>
    </x:row>
    <x:row r="17">
      <x:c r="A17" s="14" t="n">
        <x:v>16</x:v>
      </x:c>
      <x:c r="B17" s="18" t="str">
        <x:v>Odds calculator</x:v>
      </x:c>
      <x:c r="C17" s="18" t="str">
        <x:v>calculator odds</x:v>
      </x:c>
      <x:c r="D17" s="18" t="str">
        <x:v>Lifestyle &amp; Entertainment</x:v>
      </x:c>
      <x:c r="E17" s="18" t="n">
        <x:v>72</x:v>
      </x:c>
      <x:c r="F17" s="32" t="n">
        <x:v>74000</x:v>
      </x:c>
      <x:c r="G17" s="34" t="n">
        <x:v>45.68</x:v>
      </x:c>
      <x:c r="H17" s="18" t="n">
        <x:v>1</x:v>
      </x:c>
      <x:c r="I17" s="18" t="str">
        <x:v>Easy</x:v>
      </x:c>
      <x:c r="J17" s="18" t="str">
        <x:v>Medium</x:v>
      </x:c>
      <x:c r="K17" s="18" t="str">
        <x:v>Ads</x:v>
      </x:c>
      <x:c r="L17" s="36" t="n">
        <x:v>67</x:v>
      </x:c>
      <x:c r="M17" s="18" t="str">
        <x:v>Second wave</x:v>
      </x:c>
    </x:row>
    <x:row r="18">
      <x:c r="A18" s="14" t="n">
        <x:v>17</x:v>
      </x:c>
      <x:c r="B18" s="18" t="str">
        <x:v>Gravel calculator</x:v>
      </x:c>
      <x:c r="C18" s="18" t="str">
        <x:v>calculator gravel</x:v>
      </x:c>
      <x:c r="D18" s="18" t="str">
        <x:v>Construction &amp; Home Improvement</x:v>
      </x:c>
      <x:c r="E18" s="18" t="n">
        <x:v>37</x:v>
      </x:c>
      <x:c r="F18" s="32" t="n">
        <x:v>60500</x:v>
      </x:c>
      <x:c r="G18" s="34" t="n">
        <x:v>2</x:v>
      </x:c>
      <x:c r="H18" s="18" t="n">
        <x:v>1</x:v>
      </x:c>
      <x:c r="I18" s="18" t="str">
        <x:v>Medium</x:v>
      </x:c>
      <x:c r="J18" s="18" t="str">
        <x:v>Medium</x:v>
      </x:c>
      <x:c r="K18" s="18" t="str">
        <x:v>Ads / Local leads / Affiliate</x:v>
      </x:c>
      <x:c r="L18" s="36" t="n">
        <x:v>66.8</x:v>
      </x:c>
      <x:c r="M18" s="18" t="str">
        <x:v>Second wave</x:v>
      </x:c>
    </x:row>
    <x:row r="19">
      <x:c r="A19" s="14" t="n">
        <x:v>18</x:v>
      </x:c>
      <x:c r="B19" s="18" t="str">
        <x:v>Car loan/payment calculator</x:v>
      </x:c>
      <x:c r="C19" s="18" t="str">
        <x:v>calculator car loan payment</x:v>
      </x:c>
      <x:c r="D19" s="18" t="str">
        <x:v>Loans &amp; Auto Finance</x:v>
      </x:c>
      <x:c r="E19" s="18" t="n">
        <x:v>49</x:v>
      </x:c>
      <x:c r="F19" s="32" t="n">
        <x:v>2044100</x:v>
      </x:c>
      <x:c r="G19" s="34" t="n">
        <x:v>1.4</x:v>
      </x:c>
      <x:c r="H19" s="18" t="n">
        <x:v>6</x:v>
      </x:c>
      <x:c r="I19" s="18" t="str">
        <x:v>Medium</x:v>
      </x:c>
      <x:c r="J19" s="18" t="str">
        <x:v>High</x:v>
      </x:c>
      <x:c r="K19" s="18" t="str">
        <x:v>Leads / Ads / Affiliate</x:v>
      </x:c>
      <x:c r="L19" s="36" t="n">
        <x:v>66.5</x:v>
      </x:c>
      <x:c r="M19" s="18" t="str">
        <x:v>Second wave</x:v>
      </x:c>
    </x:row>
    <x:row r="20">
      <x:c r="A20" s="14" t="n">
        <x:v>19</x:v>
      </x:c>
      <x:c r="B20" s="18" t="str">
        <x:v>Weight unit converter</x:v>
      </x:c>
      <x:c r="C20" s="18" t="str">
        <x:v>calculator kg to lbs</x:v>
      </x:c>
      <x:c r="D20" s="18" t="str">
        <x:v>Conversions &amp; Units</x:v>
      </x:c>
      <x:c r="E20" s="18" t="n">
        <x:v>35</x:v>
      </x:c>
      <x:c r="F20" s="32" t="n">
        <x:v>22500</x:v>
      </x:c>
      <x:c r="G20" s="34" t="n">
        <x:v>0.44</x:v>
      </x:c>
      <x:c r="H20" s="18" t="n">
        <x:v>2</x:v>
      </x:c>
      <x:c r="I20" s="18" t="str">
        <x:v>Easy</x:v>
      </x:c>
      <x:c r="J20" s="18" t="str">
        <x:v>Medium</x:v>
      </x:c>
      <x:c r="K20" s="18" t="str">
        <x:v>Ads</x:v>
      </x:c>
      <x:c r="L20" s="36" t="n">
        <x:v>66.4</x:v>
      </x:c>
      <x:c r="M20" s="18" t="str">
        <x:v>Second wave</x:v>
      </x:c>
    </x:row>
    <x:row r="21">
      <x:c r="A21" s="14" t="n">
        <x:v>20</x:v>
      </x:c>
      <x:c r="B21" s="18" t="str">
        <x:v>Log calculator</x:v>
      </x:c>
      <x:c r="C21" s="18" t="str">
        <x:v>calculator log</x:v>
      </x:c>
      <x:c r="D21" s="18" t="str">
        <x:v>Math &amp; Education</x:v>
      </x:c>
      <x:c r="E21" s="18" t="n">
        <x:v>37</x:v>
      </x:c>
      <x:c r="F21" s="32" t="n">
        <x:v>14800</x:v>
      </x:c>
      <x:c r="G21" s="34" t="n">
        <x:v>1.35</x:v>
      </x:c>
      <x:c r="H21" s="18" t="n">
        <x:v>1</x:v>
      </x:c>
      <x:c r="I21" s="18" t="str">
        <x:v>Easy</x:v>
      </x:c>
      <x:c r="J21" s="18" t="str">
        <x:v>Medium</x:v>
      </x:c>
      <x:c r="K21" s="18" t="str">
        <x:v>Ads / EdTech</x:v>
      </x:c>
      <x:c r="L21" s="36" t="n">
        <x:v>66.2</x:v>
      </x:c>
      <x:c r="M21" s="18" t="str">
        <x:v>Second wave</x:v>
      </x:c>
    </x:row>
    <x:row r="22">
      <x:c r="A22" s="14" t="n">
        <x:v>21</x:v>
      </x:c>
      <x:c r="B22" s="18" t="str">
        <x:v>Hours calculator</x:v>
      </x:c>
      <x:c r="C22" s="18" t="str">
        <x:v>calculator hours</x:v>
      </x:c>
      <x:c r="D22" s="18" t="str">
        <x:v>Date &amp; Time</x:v>
      </x:c>
      <x:c r="E22" s="18" t="n">
        <x:v>54</x:v>
      </x:c>
      <x:c r="F22" s="32" t="n">
        <x:v>8100</x:v>
      </x:c>
      <x:c r="G22" s="34" t="n">
        <x:v>6.25</x:v>
      </x:c>
      <x:c r="H22" s="18" t="n">
        <x:v>1</x:v>
      </x:c>
      <x:c r="I22" s="18" t="str">
        <x:v>Easy</x:v>
      </x:c>
      <x:c r="J22" s="18" t="str">
        <x:v>Medium</x:v>
      </x:c>
      <x:c r="K22" s="18" t="str">
        <x:v>Ads</x:v>
      </x:c>
      <x:c r="L22" s="36" t="n">
        <x:v>66</x:v>
      </x:c>
      <x:c r="M22" s="18" t="str">
        <x:v>Second wave</x:v>
      </x:c>
    </x:row>
    <x:row r="23">
      <x:c r="A23" s="14" t="n">
        <x:v>22</x:v>
      </x:c>
      <x:c r="B23" s="18" t="str">
        <x:v>Gpa calculator</x:v>
      </x:c>
      <x:c r="C23" s="18" t="str">
        <x:v>calculator gpa</x:v>
      </x:c>
      <x:c r="D23" s="18" t="str">
        <x:v>Math &amp; Education</x:v>
      </x:c>
      <x:c r="E23" s="18" t="n">
        <x:v>58</x:v>
      </x:c>
      <x:c r="F23" s="32" t="n">
        <x:v>823000</x:v>
      </x:c>
      <x:c r="G23" s="34" t="n">
        <x:v>4.54</x:v>
      </x:c>
      <x:c r="H23" s="18" t="n">
        <x:v>1</x:v>
      </x:c>
      <x:c r="I23" s="18" t="str">
        <x:v>Medium</x:v>
      </x:c>
      <x:c r="J23" s="18" t="str">
        <x:v>Medium</x:v>
      </x:c>
      <x:c r="K23" s="18" t="str">
        <x:v>Ads / EdTech</x:v>
      </x:c>
      <x:c r="L23" s="36" t="n">
        <x:v>66</x:v>
      </x:c>
      <x:c r="M23" s="18" t="str">
        <x:v>Second wave</x:v>
      </x:c>
    </x:row>
    <x:row r="24">
      <x:c r="A24" s="14" t="n">
        <x:v>23</x:v>
      </x:c>
      <x:c r="B24" s="18" t="str">
        <x:v>Salary calculator</x:v>
      </x:c>
      <x:c r="C24" s="18" t="str">
        <x:v>calculator salary</x:v>
      </x:c>
      <x:c r="D24" s="18" t="str">
        <x:v>Salary, Payroll &amp; Tax</x:v>
      </x:c>
      <x:c r="E24" s="18" t="n">
        <x:v>55</x:v>
      </x:c>
      <x:c r="F24" s="32" t="n">
        <x:v>246000</x:v>
      </x:c>
      <x:c r="G24" s="34" t="n">
        <x:v>3.11</x:v>
      </x:c>
      <x:c r="H24" s="18" t="n">
        <x:v>1</x:v>
      </x:c>
      <x:c r="I24" s="18" t="str">
        <x:v>Medium</x:v>
      </x:c>
      <x:c r="J24" s="18" t="str">
        <x:v>High</x:v>
      </x:c>
      <x:c r="K24" s="18" t="str">
        <x:v>Ads / SaaS leads</x:v>
      </x:c>
      <x:c r="L24" s="36" t="n">
        <x:v>65.9</x:v>
      </x:c>
      <x:c r="M24" s="18" t="str">
        <x:v>Second wave</x:v>
      </x:c>
    </x:row>
    <x:row r="25">
      <x:c r="A25" s="14" t="n">
        <x:v>24</x:v>
      </x:c>
      <x:c r="B25" s="18" t="str">
        <x:v>Net Investment calculator</x:v>
      </x:c>
      <x:c r="C25" s="18" t="str">
        <x:v>calculator net investment calculator</x:v>
      </x:c>
      <x:c r="D25" s="18" t="str">
        <x:v>Personal Finance &amp; Investing</x:v>
      </x:c>
      <x:c r="E25" s="18" t="n">
        <x:v>6</x:v>
      </x:c>
      <x:c r="F25" s="32" t="n">
        <x:v>260</x:v>
      </x:c>
      <x:c r="G25" s="34" t="n">
        <x:v>1.97</x:v>
      </x:c>
      <x:c r="H25" s="18" t="n">
        <x:v>1</x:v>
      </x:c>
      <x:c r="I25" s="18" t="str">
        <x:v>Complex</x:v>
      </x:c>
      <x:c r="J25" s="18" t="str">
        <x:v>High</x:v>
      </x:c>
      <x:c r="K25" s="18" t="str">
        <x:v>Ads / Leads / Affiliate</x:v>
      </x:c>
      <x:c r="L25" s="36" t="n">
        <x:v>65.8</x:v>
      </x:c>
      <x:c r="M25" s="18" t="str">
        <x:v>Second wave</x:v>
      </x:c>
    </x:row>
    <x:row r="26">
      <x:c r="A26" s="14" t="n">
        <x:v>25</x:v>
      </x:c>
      <x:c r="B26" s="18" t="str">
        <x:v>Gold calculator</x:v>
      </x:c>
      <x:c r="C26" s="18" t="str">
        <x:v>calculator gold</x:v>
      </x:c>
      <x:c r="D26" s="18" t="str">
        <x:v>Lifestyle &amp; Entertainment</x:v>
      </x:c>
      <x:c r="E26" s="18" t="n">
        <x:v>46</x:v>
      </x:c>
      <x:c r="F26" s="32" t="n">
        <x:v>49500</x:v>
      </x:c>
      <x:c r="G26" s="34" t="n">
        <x:v>1.53</x:v>
      </x:c>
      <x:c r="H26" s="18" t="n">
        <x:v>1</x:v>
      </x:c>
      <x:c r="I26" s="18" t="str">
        <x:v>Easy</x:v>
      </x:c>
      <x:c r="J26" s="18" t="str">
        <x:v>Medium</x:v>
      </x:c>
      <x:c r="K26" s="18" t="str">
        <x:v>Ads</x:v>
      </x:c>
      <x:c r="L26" s="36" t="n">
        <x:v>65.5</x:v>
      </x:c>
      <x:c r="M26" s="18" t="str">
        <x:v>Second wave</x:v>
      </x:c>
    </x:row>
    <x:row r="27">
      <x:c r="A27" s="14" t="n">
        <x:v>26</x:v>
      </x:c>
      <x:c r="B27" s="18" t="str">
        <x:v>529 calculator</x:v>
      </x:c>
      <x:c r="C27" s="18" t="str">
        <x:v>calculator 529</x:v>
      </x:c>
      <x:c r="D27" s="18" t="str">
        <x:v>Personal Finance &amp; Investing</x:v>
      </x:c>
      <x:c r="E27" s="18" t="n">
        <x:v>36</x:v>
      </x:c>
      <x:c r="F27" s="32" t="n">
        <x:v>18100</x:v>
      </x:c>
      <x:c r="G27" s="34" t="n">
        <x:v>1.3</x:v>
      </x:c>
      <x:c r="H27" s="18" t="n">
        <x:v>1</x:v>
      </x:c>
      <x:c r="I27" s="18" t="str">
        <x:v>Medium</x:v>
      </x:c>
      <x:c r="J27" s="18" t="str">
        <x:v>High</x:v>
      </x:c>
      <x:c r="K27" s="18" t="str">
        <x:v>Ads / Leads / Affiliate</x:v>
      </x:c>
      <x:c r="L27" s="36" t="n">
        <x:v>65.3</x:v>
      </x:c>
      <x:c r="M27" s="18" t="str">
        <x:v>Second wave</x:v>
      </x:c>
    </x:row>
    <x:row r="28">
      <x:c r="A28" s="14" t="n">
        <x:v>27</x:v>
      </x:c>
      <x:c r="B28" s="18" t="str">
        <x:v>Scientific calculator</x:v>
      </x:c>
      <x:c r="C28" s="18" t="str">
        <x:v>calculator scientific</x:v>
      </x:c>
      <x:c r="D28" s="18" t="str">
        <x:v>Math &amp; Education</x:v>
      </x:c>
      <x:c r="E28" s="18" t="n">
        <x:v>45</x:v>
      </x:c>
      <x:c r="F28" s="32" t="n">
        <x:v>13500</x:v>
      </x:c>
      <x:c r="G28" s="34" t="n">
        <x:v>2.99</x:v>
      </x:c>
      <x:c r="H28" s="18" t="n">
        <x:v>2</x:v>
      </x:c>
      <x:c r="I28" s="18" t="str">
        <x:v>Easy</x:v>
      </x:c>
      <x:c r="J28" s="18" t="str">
        <x:v>Medium</x:v>
      </x:c>
      <x:c r="K28" s="18" t="str">
        <x:v>Ads / EdTech</x:v>
      </x:c>
      <x:c r="L28" s="36" t="n">
        <x:v>65.3</x:v>
      </x:c>
      <x:c r="M28" s="18" t="str">
        <x:v>Second wave</x:v>
      </x:c>
    </x:row>
    <x:row r="29">
      <x:c r="A29" s="14" t="n">
        <x:v>28</x:v>
      </x:c>
      <x:c r="B29" s="18" t="str">
        <x:v>Days calculator</x:v>
      </x:c>
      <x:c r="C29" s="18" t="str">
        <x:v>calculator days</x:v>
      </x:c>
      <x:c r="D29" s="18" t="str">
        <x:v>Date &amp; Time</x:v>
      </x:c>
      <x:c r="E29" s="18" t="n">
        <x:v>45</x:v>
      </x:c>
      <x:c r="F29" s="32" t="n">
        <x:v>90500</x:v>
      </x:c>
      <x:c r="G29" s="34" t="n">
        <x:v>0.29</x:v>
      </x:c>
      <x:c r="H29" s="18" t="n">
        <x:v>1</x:v>
      </x:c>
      <x:c r="I29" s="18" t="str">
        <x:v>Easy</x:v>
      </x:c>
      <x:c r="J29" s="18" t="str">
        <x:v>Medium</x:v>
      </x:c>
      <x:c r="K29" s="18" t="str">
        <x:v>Ads</x:v>
      </x:c>
      <x:c r="L29" s="36" t="n">
        <x:v>64.9</x:v>
      </x:c>
      <x:c r="M29" s="18" t="str">
        <x:v>Second wave</x:v>
      </x:c>
    </x:row>
    <x:row r="30">
      <x:c r="A30" s="14" t="n">
        <x:v>29</x:v>
      </x:c>
      <x:c r="B30" s="18" t="str">
        <x:v>Vehicle Loan calculator</x:v>
      </x:c>
      <x:c r="C30" s="18" t="str">
        <x:v>calculator vehicle loan</x:v>
      </x:c>
      <x:c r="D30" s="18" t="str">
        <x:v>General / Other</x:v>
      </x:c>
      <x:c r="E30" s="18" t="n">
        <x:v>28</x:v>
      </x:c>
      <x:c r="F30" s="32" t="n">
        <x:v>14800</x:v>
      </x:c>
      <x:c r="G30" s="34" t="n">
        <x:v>0.54</x:v>
      </x:c>
      <x:c r="H30" s="18" t="n">
        <x:v>1</x:v>
      </x:c>
      <x:c r="I30" s="18" t="str">
        <x:v>Medium</x:v>
      </x:c>
      <x:c r="J30" s="18" t="str">
        <x:v>Medium</x:v>
      </x:c>
      <x:c r="K30" s="18" t="str">
        <x:v>Ads</x:v>
      </x:c>
      <x:c r="L30" s="36" t="n">
        <x:v>64.8</x:v>
      </x:c>
      <x:c r="M30" s="18" t="str">
        <x:v>Second wave</x:v>
      </x:c>
    </x:row>
    <x:row r="31">
      <x:c r="A31" s="14" t="n">
        <x:v>30</x:v>
      </x:c>
      <x:c r="B31" s="18" t="str">
        <x:v>Compound Interest calculator</x:v>
      </x:c>
      <x:c r="C31" s="18" t="str">
        <x:v>calculator compound interest</x:v>
      </x:c>
      <x:c r="D31" s="18" t="str">
        <x:v>Personal Finance &amp; Investing</x:v>
      </x:c>
      <x:c r="E31" s="18" t="n">
        <x:v>65</x:v>
      </x:c>
      <x:c r="F31" s="32" t="n">
        <x:v>673000</x:v>
      </x:c>
      <x:c r="G31" s="34" t="n">
        <x:v>2.16</x:v>
      </x:c>
      <x:c r="H31" s="18" t="n">
        <x:v>1</x:v>
      </x:c>
      <x:c r="I31" s="18" t="str">
        <x:v>Easy</x:v>
      </x:c>
      <x:c r="J31" s="18" t="str">
        <x:v>High</x:v>
      </x:c>
      <x:c r="K31" s="18" t="str">
        <x:v>Ads / Leads / Affiliate</x:v>
      </x:c>
      <x:c r="L31" s="36" t="n">
        <x:v>64.7</x:v>
      </x:c>
      <x:c r="M31" s="18" t="str">
        <x:v>Second wave</x:v>
      </x:c>
    </x:row>
    <x:row r="32">
      <x:c r="A32" s="14" t="n">
        <x:v>31</x:v>
      </x:c>
      <x:c r="B32" s="18" t="str">
        <x:v>Overtime calculator</x:v>
      </x:c>
      <x:c r="C32" s="18" t="str">
        <x:v>calculator overtime</x:v>
      </x:c>
      <x:c r="D32" s="18" t="str">
        <x:v>Salary, Payroll &amp; Tax</x:v>
      </x:c>
      <x:c r="E32" s="18" t="n">
        <x:v>61</x:v>
      </x:c>
      <x:c r="F32" s="32" t="n">
        <x:v>22200</x:v>
      </x:c>
      <x:c r="G32" s="34" t="n">
        <x:v>6.91</x:v>
      </x:c>
      <x:c r="H32" s="18" t="n">
        <x:v>1</x:v>
      </x:c>
      <x:c r="I32" s="18" t="str">
        <x:v>Medium</x:v>
      </x:c>
      <x:c r="J32" s="18" t="str">
        <x:v>High</x:v>
      </x:c>
      <x:c r="K32" s="18" t="str">
        <x:v>Ads / SaaS leads</x:v>
      </x:c>
      <x:c r="L32" s="36" t="n">
        <x:v>64.4</x:v>
      </x:c>
      <x:c r="M32" s="18" t="str">
        <x:v>Second wave</x:v>
      </x:c>
    </x:row>
    <x:row r="33">
      <x:c r="A33" s="14" t="n">
        <x:v>32</x:v>
      </x:c>
      <x:c r="B33" s="18" t="str">
        <x:v>Image calculator</x:v>
      </x:c>
      <x:c r="C33" s="18" t="str">
        <x:v>calculator image</x:v>
      </x:c>
      <x:c r="D33" s="18" t="str">
        <x:v>Date &amp; Time</x:v>
      </x:c>
      <x:c r="E33" s="18" t="n">
        <x:v>28</x:v>
      </x:c>
      <x:c r="F33" s="32" t="n">
        <x:v>1900</x:v>
      </x:c>
      <x:c r="G33" s="34" t="n">
        <x:v>0.26</x:v>
      </x:c>
      <x:c r="H33" s="18" t="n">
        <x:v>1</x:v>
      </x:c>
      <x:c r="I33" s="18" t="str">
        <x:v>Easy</x:v>
      </x:c>
      <x:c r="J33" s="18" t="str">
        <x:v>Medium</x:v>
      </x:c>
      <x:c r="K33" s="18" t="str">
        <x:v>Ads</x:v>
      </x:c>
      <x:c r="L33" s="36" t="n">
        <x:v>63.5</x:v>
      </x:c>
      <x:c r="M33" s="18" t="str">
        <x:v>Second wave</x:v>
      </x:c>
    </x:row>
    <x:row r="34">
      <x:c r="A34" s="14" t="n">
        <x:v>33</x:v>
      </x:c>
      <x:c r="B34" s="18" t="str">
        <x:v>Sleep calculator</x:v>
      </x:c>
      <x:c r="C34" s="18" t="str">
        <x:v>calculator sleep</x:v>
      </x:c>
      <x:c r="D34" s="18" t="str">
        <x:v>Health, Nutrition &amp; Fitness</x:v>
      </x:c>
      <x:c r="E34" s="18" t="n">
        <x:v>47</x:v>
      </x:c>
      <x:c r="F34" s="32" t="n">
        <x:v>110000</x:v>
      </x:c>
      <x:c r="G34" s="34" t="n">
        <x:v>1.79</x:v>
      </x:c>
      <x:c r="H34" s="18" t="n">
        <x:v>1</x:v>
      </x:c>
      <x:c r="I34" s="18" t="str">
        <x:v>Medium</x:v>
      </x:c>
      <x:c r="J34" s="18" t="str">
        <x:v>Medium</x:v>
      </x:c>
      <x:c r="K34" s="18" t="str">
        <x:v>Ads / Affiliate</x:v>
      </x:c>
      <x:c r="L34" s="36" t="n">
        <x:v>63.3</x:v>
      </x:c>
      <x:c r="M34" s="18" t="str">
        <x:v>Second wave</x:v>
      </x:c>
    </x:row>
    <x:row r="35">
      <x:c r="A35" s="14" t="n">
        <x:v>34</x:v>
      </x:c>
      <x:c r="B35" s="18" t="str">
        <x:v>Hourly Pay calculator</x:v>
      </x:c>
      <x:c r="C35" s="18" t="str">
        <x:v>calculator hourly pay</x:v>
      </x:c>
      <x:c r="D35" s="18" t="str">
        <x:v>Salary, Payroll &amp; Tax</x:v>
      </x:c>
      <x:c r="E35" s="18" t="n">
        <x:v>53</x:v>
      </x:c>
      <x:c r="F35" s="32" t="n">
        <x:v>12100</x:v>
      </x:c>
      <x:c r="G35" s="34" t="n">
        <x:v>2.89</x:v>
      </x:c>
      <x:c r="H35" s="18" t="n">
        <x:v>1</x:v>
      </x:c>
      <x:c r="I35" s="18" t="str">
        <x:v>Easy</x:v>
      </x:c>
      <x:c r="J35" s="18" t="str">
        <x:v>High</x:v>
      </x:c>
      <x:c r="K35" s="18" t="str">
        <x:v>Ads / SaaS leads</x:v>
      </x:c>
      <x:c r="L35" s="36" t="n">
        <x:v>63.3</x:v>
      </x:c>
      <x:c r="M35" s="18" t="str">
        <x:v>Second wave</x:v>
      </x:c>
    </x:row>
    <x:row r="36">
      <x:c r="A36" s="14" t="n">
        <x:v>35</x:v>
      </x:c>
      <x:c r="B36" s="18" t="str">
        <x:v>Retirement calculator</x:v>
      </x:c>
      <x:c r="C36" s="18" t="str">
        <x:v>calculator retirement</x:v>
      </x:c>
      <x:c r="D36" s="18" t="str">
        <x:v>Personal Finance &amp; Investing</x:v>
      </x:c>
      <x:c r="E36" s="18" t="n">
        <x:v>52</x:v>
      </x:c>
      <x:c r="F36" s="32" t="n">
        <x:v>368000</x:v>
      </x:c>
      <x:c r="G36" s="34" t="n">
        <x:v>2.27</x:v>
      </x:c>
      <x:c r="H36" s="18" t="n">
        <x:v>1</x:v>
      </x:c>
      <x:c r="I36" s="18" t="str">
        <x:v>Complex</x:v>
      </x:c>
      <x:c r="J36" s="18" t="str">
        <x:v>High</x:v>
      </x:c>
      <x:c r="K36" s="18" t="str">
        <x:v>Ads / Leads / Affiliate</x:v>
      </x:c>
      <x:c r="L36" s="36" t="n">
        <x:v>62.6</x:v>
      </x:c>
      <x:c r="M36" s="18" t="str">
        <x:v>Second wave</x:v>
      </x:c>
    </x:row>
    <x:row r="37">
      <x:c r="A37" s="14" t="n">
        <x:v>36</x:v>
      </x:c>
      <x:c r="B37" s="18" t="str">
        <x:v>Exponents calculator</x:v>
      </x:c>
      <x:c r="C37" s="18" t="str">
        <x:v>calculator exponents</x:v>
      </x:c>
      <x:c r="D37" s="18" t="str">
        <x:v>Math &amp; Education</x:v>
      </x:c>
      <x:c r="E37" s="18" t="n">
        <x:v>49</x:v>
      </x:c>
      <x:c r="F37" s="32" t="n">
        <x:v>22200</x:v>
      </x:c>
      <x:c r="G37" s="34" t="n">
        <x:v>1.53</x:v>
      </x:c>
      <x:c r="H37" s="18" t="n">
        <x:v>1</x:v>
      </x:c>
      <x:c r="I37" s="18" t="str">
        <x:v>Easy</x:v>
      </x:c>
      <x:c r="J37" s="18" t="str">
        <x:v>Medium</x:v>
      </x:c>
      <x:c r="K37" s="18" t="str">
        <x:v>Ads / EdTech</x:v>
      </x:c>
      <x:c r="L37" s="36" t="n">
        <x:v>62</x:v>
      </x:c>
      <x:c r="M37" s="18" t="str">
        <x:v>Second wave</x:v>
      </x:c>
    </x:row>
    <x:row r="38">
      <x:c r="A38" s="14" t="n">
        <x:v>37</x:v>
      </x:c>
      <x:c r="B38" s="18" t="str">
        <x:v>Gas Trip calculator</x:v>
      </x:c>
      <x:c r="C38" s="18" t="str">
        <x:v>calculator gas trip</x:v>
      </x:c>
      <x:c r="D38" s="18" t="str">
        <x:v>Travel &amp; Automotive</x:v>
      </x:c>
      <x:c r="E38" s="18" t="n">
        <x:v>50</x:v>
      </x:c>
      <x:c r="F38" s="32" t="n">
        <x:v>18100</x:v>
      </x:c>
      <x:c r="G38" s="34" t="n">
        <x:v>3.59</x:v>
      </x:c>
      <x:c r="H38" s="18" t="n">
        <x:v>1</x:v>
      </x:c>
      <x:c r="I38" s="18" t="str">
        <x:v>Medium</x:v>
      </x:c>
      <x:c r="J38" s="18" t="str">
        <x:v>Medium</x:v>
      </x:c>
      <x:c r="K38" s="18" t="str">
        <x:v>Ads / Affiliate</x:v>
      </x:c>
      <x:c r="L38" s="36" t="n">
        <x:v>61</x:v>
      </x:c>
      <x:c r="M38" s="18" t="str">
        <x:v>Second wave</x:v>
      </x:c>
    </x:row>
    <x:row r="39">
      <x:c r="A39" s="14" t="n">
        <x:v>38</x:v>
      </x:c>
      <x:c r="B39" s="18" t="str">
        <x:v>Refinance calculator</x:v>
      </x:c>
      <x:c r="C39" s="18" t="str">
        <x:v>calculator refinance</x:v>
      </x:c>
      <x:c r="D39" s="18" t="str">
        <x:v>Mortgage &amp; Real Estate</x:v>
      </x:c>
      <x:c r="E39" s="18" t="n">
        <x:v>62</x:v>
      </x:c>
      <x:c r="F39" s="32" t="n">
        <x:v>49500</x:v>
      </x:c>
      <x:c r="G39" s="34" t="n">
        <x:v>6.02</x:v>
      </x:c>
      <x:c r="H39" s="18" t="n">
        <x:v>1</x:v>
      </x:c>
      <x:c r="I39" s="18" t="str">
        <x:v>Complex</x:v>
      </x:c>
      <x:c r="J39" s="18" t="str">
        <x:v>High</x:v>
      </x:c>
      <x:c r="K39" s="18" t="str">
        <x:v>Leads / Ads / Affiliate</x:v>
      </x:c>
      <x:c r="L39" s="36" t="n">
        <x:v>60.4</x:v>
      </x:c>
      <x:c r="M39" s="18" t="str">
        <x:v>Second wave</x:v>
      </x:c>
    </x:row>
    <x:row r="40">
      <x:c r="A40" s="14" t="n">
        <x:v>39</x:v>
      </x:c>
      <x:c r="B40" s="18" t="str">
        <x:v>Interest calculator</x:v>
      </x:c>
      <x:c r="C40" s="18" t="str">
        <x:v>calculator interest</x:v>
      </x:c>
      <x:c r="D40" s="18" t="str">
        <x:v>General / Other</x:v>
      </x:c>
      <x:c r="E40" s="18" t="n">
        <x:v>48</x:v>
      </x:c>
      <x:c r="F40" s="32" t="n">
        <x:v>480</x:v>
      </x:c>
      <x:c r="G40" s="34" t="n">
        <x:v>5.2</x:v>
      </x:c>
      <x:c r="H40" s="18" t="n">
        <x:v>1</x:v>
      </x:c>
      <x:c r="I40" s="18" t="str">
        <x:v>Easy</x:v>
      </x:c>
      <x:c r="J40" s="18" t="str">
        <x:v>Medium</x:v>
      </x:c>
      <x:c r="K40" s="18" t="str">
        <x:v>Ads</x:v>
      </x:c>
      <x:c r="L40" s="36" t="n">
        <x:v>60.1</x:v>
      </x:c>
      <x:c r="M40" s="18" t="str">
        <x:v>Second wave</x:v>
      </x:c>
    </x:row>
    <x:row r="41">
      <x:c r="A41" s="14" t="n">
        <x:v>40</x:v>
      </x:c>
      <x:c r="B41" s="18" t="str">
        <x:v>7Th Pay Commission calculator</x:v>
      </x:c>
      <x:c r="C41" s="18" t="str">
        <x:v>calculator 7th pay commission</x:v>
      </x:c>
      <x:c r="D41" s="18" t="str">
        <x:v>Salary, Payroll &amp; Tax</x:v>
      </x:c>
      <x:c r="E41" s="18" t="n">
        <x:v>5</x:v>
      </x:c>
      <x:c r="F41" s="32" t="n">
        <x:v>20</x:v>
      </x:c>
      <x:c r="G41" s="34" t="n">
        <x:v>0</x:v>
      </x:c>
      <x:c r="H41" s="18" t="n">
        <x:v>1</x:v>
      </x:c>
      <x:c r="I41" s="18" t="str">
        <x:v>Easy</x:v>
      </x:c>
      <x:c r="J41" s="18" t="str">
        <x:v>Low</x:v>
      </x:c>
      <x:c r="K41" s="18" t="str">
        <x:v>Ads / SaaS leads</x:v>
      </x:c>
      <x:c r="L41" s="36" t="n">
        <x:v>60</x:v>
      </x:c>
      <x:c r="M41" s="18" t="str">
        <x:v>Second wave</x:v>
      </x:c>
    </x:row>
    <x:row r="42">
      <x:c r="A42" s="14" t="n">
        <x:v>41</x:v>
      </x:c>
      <x:c r="B42" s="18" t="str">
        <x:v>Ovulation calculator</x:v>
      </x:c>
      <x:c r="C42" s="18" t="str">
        <x:v>calculator ovulation</x:v>
      </x:c>
      <x:c r="D42" s="18" t="str">
        <x:v>Pregnancy &amp; Family</x:v>
      </x:c>
      <x:c r="E42" s="18" t="n">
        <x:v>60</x:v>
      </x:c>
      <x:c r="F42" s="32" t="n">
        <x:v>246000</x:v>
      </x:c>
      <x:c r="G42" s="34" t="n">
        <x:v>2.06</x:v>
      </x:c>
      <x:c r="H42" s="18" t="n">
        <x:v>1</x:v>
      </x:c>
      <x:c r="I42" s="18" t="str">
        <x:v>Medium</x:v>
      </x:c>
      <x:c r="J42" s="18" t="str">
        <x:v>Medium</x:v>
      </x:c>
      <x:c r="K42" s="18" t="str">
        <x:v>Ads / Affiliate</x:v>
      </x:c>
      <x:c r="L42" s="36" t="n">
        <x:v>59.8</x:v>
      </x:c>
      <x:c r="M42" s="18" t="str">
        <x:v>Second wave</x:v>
      </x:c>
    </x:row>
    <x:row r="43">
      <x:c r="A43" s="14" t="n">
        <x:v>42</x:v>
      </x:c>
      <x:c r="B43" s="18" t="str">
        <x:v>Paycheck calculator</x:v>
      </x:c>
      <x:c r="C43" s="18" t="str">
        <x:v>calculator paycheck</x:v>
      </x:c>
      <x:c r="D43" s="18" t="str">
        <x:v>Salary, Payroll &amp; Tax</x:v>
      </x:c>
      <x:c r="E43" s="18" t="n">
        <x:v>64</x:v>
      </x:c>
      <x:c r="F43" s="32" t="n">
        <x:v>8100</x:v>
      </x:c>
      <x:c r="G43" s="34" t="n">
        <x:v>12.42</x:v>
      </x:c>
      <x:c r="H43" s="18" t="n">
        <x:v>1</x:v>
      </x:c>
      <x:c r="I43" s="18" t="str">
        <x:v>Complex</x:v>
      </x:c>
      <x:c r="J43" s="18" t="str">
        <x:v>High</x:v>
      </x:c>
      <x:c r="K43" s="18" t="str">
        <x:v>Ads / SaaS leads</x:v>
      </x:c>
      <x:c r="L43" s="36" t="n">
        <x:v>59.2</x:v>
      </x:c>
      <x:c r="M43" s="18" t="str">
        <x:v>Second wave</x:v>
      </x:c>
    </x:row>
    <x:row r="44">
      <x:c r="A44" s="14" t="n">
        <x:v>43</x:v>
      </x:c>
      <x:c r="B44" s="18" t="str">
        <x:v>Birthday calculator</x:v>
      </x:c>
      <x:c r="C44" s="18" t="str">
        <x:v>calculator birthday</x:v>
      </x:c>
      <x:c r="D44" s="18" t="str">
        <x:v>Pregnancy &amp; Family</x:v>
      </x:c>
      <x:c r="E44" s="18" t="n">
        <x:v>53</x:v>
      </x:c>
      <x:c r="F44" s="32" t="n">
        <x:v>33100</x:v>
      </x:c>
      <x:c r="G44" s="34" t="n">
        <x:v>0.33</x:v>
      </x:c>
      <x:c r="H44" s="18" t="n">
        <x:v>1</x:v>
      </x:c>
      <x:c r="I44" s="18" t="str">
        <x:v>Easy</x:v>
      </x:c>
      <x:c r="J44" s="18" t="str">
        <x:v>Medium</x:v>
      </x:c>
      <x:c r="K44" s="18" t="str">
        <x:v>Ads / Affiliate</x:v>
      </x:c>
      <x:c r="L44" s="36" t="n">
        <x:v>59.1</x:v>
      </x:c>
      <x:c r="M44" s="18" t="str">
        <x:v>Second wave</x:v>
      </x:c>
    </x:row>
    <x:row r="45">
      <x:c r="A45" s="14" t="n">
        <x:v>44</x:v>
      </x:c>
      <x:c r="B45" s="18" t="str">
        <x:v>Algebra calculator</x:v>
      </x:c>
      <x:c r="C45" s="18" t="str">
        <x:v>calculator algebra</x:v>
      </x:c>
      <x:c r="D45" s="18" t="str">
        <x:v>Math &amp; Education</x:v>
      </x:c>
      <x:c r="E45" s="18" t="n">
        <x:v>61</x:v>
      </x:c>
      <x:c r="F45" s="32" t="n">
        <x:v>90500</x:v>
      </x:c>
      <x:c r="G45" s="34" t="n">
        <x:v>0.96</x:v>
      </x:c>
      <x:c r="H45" s="18" t="n">
        <x:v>1</x:v>
      </x:c>
      <x:c r="I45" s="18" t="str">
        <x:v>Easy</x:v>
      </x:c>
      <x:c r="J45" s="18" t="str">
        <x:v>Medium</x:v>
      </x:c>
      <x:c r="K45" s="18" t="str">
        <x:v>Ads / EdTech</x:v>
      </x:c>
      <x:c r="L45" s="36" t="n">
        <x:v>59</x:v>
      </x:c>
      <x:c r="M45" s="18" t="str">
        <x:v>Second wave</x:v>
      </x:c>
    </x:row>
    <x:row r="46">
      <x:c r="A46" s="14" t="n">
        <x:v>45</x:v>
      </x:c>
      <x:c r="B46" s="18" t="str">
        <x:v>Usd To Cad calculator</x:v>
      </x:c>
      <x:c r="C46" s="18" t="str">
        <x:v>calculator usd to cad</x:v>
      </x:c>
      <x:c r="D46" s="18" t="str">
        <x:v>Conversions &amp; Units</x:v>
      </x:c>
      <x:c r="E46" s="18" t="n">
        <x:v>37</x:v>
      </x:c>
      <x:c r="F46" s="32" t="n">
        <x:v>720</x:v>
      </x:c>
      <x:c r="G46" s="34" t="n">
        <x:v>0.04</x:v>
      </x:c>
      <x:c r="H46" s="18" t="n">
        <x:v>1</x:v>
      </x:c>
      <x:c r="I46" s="18" t="str">
        <x:v>Easy</x:v>
      </x:c>
      <x:c r="J46" s="18" t="str">
        <x:v>High</x:v>
      </x:c>
      <x:c r="K46" s="18" t="str">
        <x:v>Ads</x:v>
      </x:c>
      <x:c r="L46" s="36" t="n">
        <x:v>58.6</x:v>
      </x:c>
      <x:c r="M46" s="18" t="str">
        <x:v>Second wave</x:v>
      </x:c>
    </x:row>
    <x:row r="47">
      <x:c r="A47" s="14" t="n">
        <x:v>46</x:v>
      </x:c>
      <x:c r="B47" s="18" t="str">
        <x:v>Tdee calculator</x:v>
      </x:c>
      <x:c r="C47" s="18" t="str">
        <x:v>calculator tdee</x:v>
      </x:c>
      <x:c r="D47" s="18" t="str">
        <x:v>Health, Nutrition &amp; Fitness</x:v>
      </x:c>
      <x:c r="E47" s="18" t="n">
        <x:v>23</x:v>
      </x:c>
      <x:c r="F47" s="32" t="n">
        <x:v>390</x:v>
      </x:c>
      <x:c r="G47" s="34" t="n">
        <x:v>0.45</x:v>
      </x:c>
      <x:c r="H47" s="18" t="n">
        <x:v>1</x:v>
      </x:c>
      <x:c r="I47" s="18" t="str">
        <x:v>Medium</x:v>
      </x:c>
      <x:c r="J47" s="18" t="str">
        <x:v>Medium</x:v>
      </x:c>
      <x:c r="K47" s="18" t="str">
        <x:v>Ads / Affiliate</x:v>
      </x:c>
      <x:c r="L47" s="36" t="n">
        <x:v>58.5</x:v>
      </x:c>
      <x:c r="M47" s="18" t="str">
        <x:v>Second wave</x:v>
      </x:c>
    </x:row>
    <x:row r="48">
      <x:c r="A48" s="14" t="n">
        <x:v>47</x:v>
      </x:c>
      <x:c r="B48" s="18" t="str">
        <x:v>JPY to USD converter</x:v>
      </x:c>
      <x:c r="C48" s="18" t="str">
        <x:v>calculator jpy to usd</x:v>
      </x:c>
      <x:c r="D48" s="18" t="str">
        <x:v>Conversions &amp; Units</x:v>
      </x:c>
      <x:c r="E48" s="18" t="n">
        <x:v>4</x:v>
      </x:c>
      <x:c r="F48" s="32" t="n">
        <x:v>0</x:v>
      </x:c>
      <x:c r="G48" s="34" t="n">
        <x:v>0</x:v>
      </x:c>
      <x:c r="H48" s="18" t="n">
        <x:v>2</x:v>
      </x:c>
      <x:c r="I48" s="18" t="str">
        <x:v>Easy</x:v>
      </x:c>
      <x:c r="J48" s="18" t="str">
        <x:v>High</x:v>
      </x:c>
      <x:c r="K48" s="18" t="str">
        <x:v>Ads</x:v>
      </x:c>
      <x:c r="L48" s="36" t="n">
        <x:v>58.2</x:v>
      </x:c>
      <x:c r="M48" s="18" t="str">
        <x:v>Second wave</x:v>
      </x:c>
    </x:row>
    <x:row r="49">
      <x:c r="A49" s="14" t="n">
        <x:v>48</x:v>
      </x:c>
      <x:c r="B49" s="18" t="str">
        <x:v>Yen To Usd calculator</x:v>
      </x:c>
      <x:c r="C49" s="18" t="str">
        <x:v>calculator yen to usd</x:v>
      </x:c>
      <x:c r="D49" s="18" t="str">
        <x:v>Conversions &amp; Units</x:v>
      </x:c>
      <x:c r="E49" s="18" t="n">
        <x:v>29</x:v>
      </x:c>
      <x:c r="F49" s="32" t="n">
        <x:v>90</x:v>
      </x:c>
      <x:c r="G49" s="34" t="n">
        <x:v>0.04</x:v>
      </x:c>
      <x:c r="H49" s="18" t="n">
        <x:v>1</x:v>
      </x:c>
      <x:c r="I49" s="18" t="str">
        <x:v>Easy</x:v>
      </x:c>
      <x:c r="J49" s="18" t="str">
        <x:v>High</x:v>
      </x:c>
      <x:c r="K49" s="18" t="str">
        <x:v>Ads</x:v>
      </x:c>
      <x:c r="L49" s="36" t="n">
        <x:v>57.5</x:v>
      </x:c>
      <x:c r="M49" s="18" t="str">
        <x:v>Second wave</x:v>
      </x:c>
    </x:row>
    <x:row r="50">
      <x:c r="A50" s="14" t="n">
        <x:v>49</x:v>
      </x:c>
      <x:c r="B50" s="18" t="str">
        <x:v>401K calculator</x:v>
      </x:c>
      <x:c r="C50" s="18" t="str">
        <x:v>calculator 401k</x:v>
      </x:c>
      <x:c r="D50" s="18" t="str">
        <x:v>Personal Finance &amp; Investing</x:v>
      </x:c>
      <x:c r="E50" s="18" t="n">
        <x:v>63</x:v>
      </x:c>
      <x:c r="F50" s="32" t="n">
        <x:v>165000</x:v>
      </x:c>
      <x:c r="G50" s="34" t="n">
        <x:v>0.84</x:v>
      </x:c>
      <x:c r="H50" s="18" t="n">
        <x:v>1</x:v>
      </x:c>
      <x:c r="I50" s="18" t="str">
        <x:v>Medium</x:v>
      </x:c>
      <x:c r="J50" s="18" t="str">
        <x:v>High</x:v>
      </x:c>
      <x:c r="K50" s="18" t="str">
        <x:v>Ads / Leads / Affiliate</x:v>
      </x:c>
      <x:c r="L50" s="36" t="n">
        <x:v>57.4</x:v>
      </x:c>
      <x:c r="M50" s="18" t="str">
        <x:v>Second wave</x:v>
      </x:c>
    </x:row>
    <x:row r="51">
      <x:c r="A51" s="14" t="n">
        <x:v>50</x:v>
      </x:c>
      <x:c r="B51" s="18" t="str">
        <x:v>Logo calculator</x:v>
      </x:c>
      <x:c r="C51" s="18" t="str">
        <x:v>calculator logo</x:v>
      </x:c>
      <x:c r="D51" s="18" t="str">
        <x:v>Math &amp; Education</x:v>
      </x:c>
      <x:c r="E51" s="18" t="n">
        <x:v>33</x:v>
      </x:c>
      <x:c r="F51" s="32" t="n">
        <x:v>390</x:v>
      </x:c>
      <x:c r="G51" s="34" t="n">
        <x:v>0</x:v>
      </x:c>
      <x:c r="H51" s="18" t="n">
        <x:v>1</x:v>
      </x:c>
      <x:c r="I51" s="18" t="str">
        <x:v>Easy</x:v>
      </x:c>
      <x:c r="J51" s="18" t="str">
        <x:v>Medium</x:v>
      </x:c>
      <x:c r="K51" s="18" t="str">
        <x:v>Ads / EdTech</x:v>
      </x:c>
      <x:c r="L51" s="36" t="n">
        <x:v>57.2</x:v>
      </x:c>
      <x:c r="M51" s="18" t="str">
        <x:v>Second wave</x:v>
      </x:c>
    </x:row>
    <x:row r="52">
      <x:c r="A52" s="14" t="n">
        <x:v>51</x:v>
      </x:c>
      <x:c r="B52" s="18" t="str">
        <x:v>Exponent Button calculator</x:v>
      </x:c>
      <x:c r="C52" s="18" t="str">
        <x:v>calculator exponent button</x:v>
      </x:c>
      <x:c r="D52" s="18" t="str">
        <x:v>Math &amp; Education</x:v>
      </x:c>
      <x:c r="E52" s="18" t="n">
        <x:v>33</x:v>
      </x:c>
      <x:c r="F52" s="32" t="n">
        <x:v>260</x:v>
      </x:c>
      <x:c r="G52" s="34" t="n">
        <x:v>0.57</x:v>
      </x:c>
      <x:c r="H52" s="18" t="n">
        <x:v>1</x:v>
      </x:c>
      <x:c r="I52" s="18" t="str">
        <x:v>Easy</x:v>
      </x:c>
      <x:c r="J52" s="18" t="str">
        <x:v>Medium</x:v>
      </x:c>
      <x:c r="K52" s="18" t="str">
        <x:v>Ads / EdTech</x:v>
      </x:c>
      <x:c r="L52" s="36" t="n">
        <x:v>57.1</x:v>
      </x:c>
      <x:c r="M52" s="18" t="str">
        <x:v>Second wave</x:v>
      </x:c>
    </x:row>
    <x:row r="53">
      <x:c r="A53" s="14" t="n">
        <x:v>52</x:v>
      </x:c>
      <x:c r="B53" s="18" t="str">
        <x:v>Duration calculator</x:v>
      </x:c>
      <x:c r="C53" s="18" t="str">
        <x:v>calculator duration</x:v>
      </x:c>
      <x:c r="D53" s="18" t="str">
        <x:v>Date &amp; Time</x:v>
      </x:c>
      <x:c r="E53" s="18" t="n">
        <x:v>54</x:v>
      </x:c>
      <x:c r="F53" s="32" t="n">
        <x:v>18100</x:v>
      </x:c>
      <x:c r="G53" s="34" t="n">
        <x:v>0</x:v>
      </x:c>
      <x:c r="H53" s="18" t="n">
        <x:v>1</x:v>
      </x:c>
      <x:c r="I53" s="18" t="str">
        <x:v>Easy</x:v>
      </x:c>
      <x:c r="J53" s="18" t="str">
        <x:v>Medium</x:v>
      </x:c>
      <x:c r="K53" s="18" t="str">
        <x:v>Ads</x:v>
      </x:c>
      <x:c r="L53" s="36" t="n">
        <x:v>56.8</x:v>
      </x:c>
      <x:c r="M53" s="18" t="str">
        <x:v>Second wave</x:v>
      </x:c>
    </x:row>
    <x:row r="54">
      <x:c r="A54" s="14" t="n">
        <x:v>53</x:v>
      </x:c>
      <x:c r="B54" s="18" t="str">
        <x:v>0 To Absolute Infinity calculator</x:v>
      </x:c>
      <x:c r="C54" s="18" t="str">
        <x:v>calculator 0 to absolute infinity</x:v>
      </x:c>
      <x:c r="D54" s="18" t="str">
        <x:v>Math &amp; Education</x:v>
      </x:c>
      <x:c r="E54" s="18" t="n">
        <x:v>4</x:v>
      </x:c>
      <x:c r="F54" s="32" t="n">
        <x:v>0</x:v>
      </x:c>
      <x:c r="G54" s="34" t="n">
        <x:v>0</x:v>
      </x:c>
      <x:c r="H54" s="18" t="n">
        <x:v>1</x:v>
      </x:c>
      <x:c r="I54" s="18" t="str">
        <x:v>Easy</x:v>
      </x:c>
      <x:c r="J54" s="18" t="str">
        <x:v>Medium</x:v>
      </x:c>
      <x:c r="K54" s="18" t="str">
        <x:v>Ads / EdTech</x:v>
      </x:c>
      <x:c r="L54" s="36" t="n">
        <x:v>56.2</x:v>
      </x:c>
      <x:c r="M54" s="18" t="str">
        <x:v>Second wave</x:v>
      </x:c>
    </x:row>
    <x:row r="55">
      <x:c r="A55" s="14" t="n">
        <x:v>54</x:v>
      </x:c>
      <x:c r="B55" s="18" t="str">
        <x:v>6 Minute Walk Test calculator</x:v>
      </x:c>
      <x:c r="C55" s="18" t="str">
        <x:v>calculator 6 minute walk test</x:v>
      </x:c>
      <x:c r="D55" s="18" t="str">
        <x:v>Health, Nutrition &amp; Fitness</x:v>
      </x:c>
      <x:c r="E55" s="18" t="n">
        <x:v>4</x:v>
      </x:c>
      <x:c r="F55" s="32" t="n">
        <x:v>0</x:v>
      </x:c>
      <x:c r="G55" s="34" t="n">
        <x:v>0</x:v>
      </x:c>
      <x:c r="H55" s="18" t="n">
        <x:v>1</x:v>
      </x:c>
      <x:c r="I55" s="18" t="str">
        <x:v>Easy</x:v>
      </x:c>
      <x:c r="J55" s="18" t="str">
        <x:v>Medium</x:v>
      </x:c>
      <x:c r="K55" s="18" t="str">
        <x:v>Ads / Affiliate</x:v>
      </x:c>
      <x:c r="L55" s="36" t="n">
        <x:v>56.2</x:v>
      </x:c>
      <x:c r="M55" s="18" t="str">
        <x:v>Second wave</x:v>
      </x:c>
    </x:row>
    <x:row r="56">
      <x:c r="A56" s="14" t="n">
        <x:v>55</x:v>
      </x:c>
      <x:c r="B56" s="18" t="str">
        <x:v>60 Days From Today calculator</x:v>
      </x:c>
      <x:c r="C56" s="18" t="str">
        <x:v>calculator 60 days from today</x:v>
      </x:c>
      <x:c r="D56" s="18" t="str">
        <x:v>Date &amp; Time</x:v>
      </x:c>
      <x:c r="E56" s="18" t="n">
        <x:v>4</x:v>
      </x:c>
      <x:c r="F56" s="32" t="n">
        <x:v>0</x:v>
      </x:c>
      <x:c r="G56" s="34" t="n">
        <x:v>0</x:v>
      </x:c>
      <x:c r="H56" s="18" t="n">
        <x:v>1</x:v>
      </x:c>
      <x:c r="I56" s="18" t="str">
        <x:v>Easy</x:v>
      </x:c>
      <x:c r="J56" s="18" t="str">
        <x:v>Medium</x:v>
      </x:c>
      <x:c r="K56" s="18" t="str">
        <x:v>Ads</x:v>
      </x:c>
      <x:c r="L56" s="36" t="n">
        <x:v>56.2</x:v>
      </x:c>
      <x:c r="M56" s="18" t="str">
        <x:v>Second wave</x:v>
      </x:c>
    </x:row>
    <x:row r="57">
      <x:c r="A57" s="14" t="n">
        <x:v>56</x:v>
      </x:c>
      <x:c r="B57" s="18" t="str">
        <x:v>70 20 10 calculator</x:v>
      </x:c>
      <x:c r="C57" s="18" t="str">
        <x:v>calculator 70 20 10</x:v>
      </x:c>
      <x:c r="D57" s="18" t="str">
        <x:v>General / Other</x:v>
      </x:c>
      <x:c r="E57" s="18" t="n">
        <x:v>4</x:v>
      </x:c>
      <x:c r="F57" s="32" t="n">
        <x:v>0</x:v>
      </x:c>
      <x:c r="G57" s="34" t="n">
        <x:v>0</x:v>
      </x:c>
      <x:c r="H57" s="18" t="n">
        <x:v>1</x:v>
      </x:c>
      <x:c r="I57" s="18" t="str">
        <x:v>Easy</x:v>
      </x:c>
      <x:c r="J57" s="18" t="str">
        <x:v>Medium</x:v>
      </x:c>
      <x:c r="K57" s="18" t="str">
        <x:v>Ads</x:v>
      </x:c>
      <x:c r="L57" s="36" t="n">
        <x:v>56.2</x:v>
      </x:c>
      <x:c r="M57" s="18" t="str">
        <x:v>Second wave</x:v>
      </x:c>
    </x:row>
    <x:row r="58">
      <x:c r="A58" s="14" t="n">
        <x:v>57</x:v>
      </x:c>
      <x:c r="B58" s="18" t="str">
        <x:v>Percentage calculator</x:v>
      </x:c>
      <x:c r="C58" s="18" t="str">
        <x:v>calculator percentage</x:v>
      </x:c>
      <x:c r="D58" s="18" t="str">
        <x:v>Date &amp; Time</x:v>
      </x:c>
      <x:c r="E58" s="18" t="n">
        <x:v>58</x:v>
      </x:c>
      <x:c r="F58" s="32" t="n">
        <x:v>2900</x:v>
      </x:c>
      <x:c r="G58" s="34" t="n">
        <x:v>3</x:v>
      </x:c>
      <x:c r="H58" s="18" t="n">
        <x:v>1</x:v>
      </x:c>
      <x:c r="I58" s="18" t="str">
        <x:v>Easy</x:v>
      </x:c>
      <x:c r="J58" s="18" t="str">
        <x:v>Medium</x:v>
      </x:c>
      <x:c r="K58" s="18" t="str">
        <x:v>Ads</x:v>
      </x:c>
      <x:c r="L58" s="36" t="n">
        <x:v>55.9</x:v>
      </x:c>
      <x:c r="M58" s="18" t="str">
        <x:v>Second wave</x:v>
      </x:c>
    </x:row>
    <x:row r="59">
      <x:c r="A59" s="14" t="n">
        <x:v>58</x:v>
      </x:c>
      <x:c r="B59" s="18" t="str">
        <x:v>Inflation calculator</x:v>
      </x:c>
      <x:c r="C59" s="18" t="str">
        <x:v>calculator inflation</x:v>
      </x:c>
      <x:c r="D59" s="18" t="str">
        <x:v>Personal Finance &amp; Investing</x:v>
      </x:c>
      <x:c r="E59" s="18" t="n">
        <x:v>67</x:v>
      </x:c>
      <x:c r="F59" s="32" t="n">
        <x:v>550000</x:v>
      </x:c>
      <x:c r="G59" s="34" t="n">
        <x:v>2.15</x:v>
      </x:c>
      <x:c r="H59" s="18" t="n">
        <x:v>1</x:v>
      </x:c>
      <x:c r="I59" s="18" t="str">
        <x:v>Complex</x:v>
      </x:c>
      <x:c r="J59" s="18" t="str">
        <x:v>High</x:v>
      </x:c>
      <x:c r="K59" s="18" t="str">
        <x:v>Ads / Leads / Affiliate</x:v>
      </x:c>
      <x:c r="L59" s="36" t="n">
        <x:v>55.8</x:v>
      </x:c>
      <x:c r="M59" s="18" t="str">
        <x:v>Second wave</x:v>
      </x:c>
    </x:row>
    <x:row r="60">
      <x:c r="A60" s="14" t="n">
        <x:v>59</x:v>
      </x:c>
      <x:c r="B60" s="18" t="str">
        <x:v>Love By Name calculator</x:v>
      </x:c>
      <x:c r="C60" s="18" t="str">
        <x:v>calculator love by name</x:v>
      </x:c>
      <x:c r="D60" s="18" t="str">
        <x:v>Lifestyle &amp; Entertainment</x:v>
      </x:c>
      <x:c r="E60" s="18" t="n">
        <x:v>57</x:v>
      </x:c>
      <x:c r="F60" s="32" t="n">
        <x:v>2400</x:v>
      </x:c>
      <x:c r="G60" s="34" t="n">
        <x:v>2.66</x:v>
      </x:c>
      <x:c r="H60" s="18" t="n">
        <x:v>1</x:v>
      </x:c>
      <x:c r="I60" s="18" t="str">
        <x:v>Easy</x:v>
      </x:c>
      <x:c r="J60" s="18" t="str">
        <x:v>Medium</x:v>
      </x:c>
      <x:c r="K60" s="18" t="str">
        <x:v>Ads</x:v>
      </x:c>
      <x:c r="L60" s="36" t="n">
        <x:v>55.5</x:v>
      </x:c>
      <x:c r="M60" s="18" t="str">
        <x:v>Second wave</x:v>
      </x:c>
    </x:row>
    <x:row r="61">
      <x:c r="A61" s="14" t="n">
        <x:v>60</x:v>
      </x:c>
      <x:c r="B61" s="18" t="str">
        <x:v>Loan Payment calculator</x:v>
      </x:c>
      <x:c r="C61" s="18" t="str">
        <x:v>calculator loan payment</x:v>
      </x:c>
      <x:c r="D61" s="18" t="str">
        <x:v>Loans &amp; Auto Finance</x:v>
      </x:c>
      <x:c r="E61" s="18" t="n">
        <x:v>74</x:v>
      </x:c>
      <x:c r="F61" s="32" t="n">
        <x:v>135000</x:v>
      </x:c>
      <x:c r="G61" s="34" t="n">
        <x:v>2.55</x:v>
      </x:c>
      <x:c r="H61" s="18" t="n">
        <x:v>1</x:v>
      </x:c>
      <x:c r="I61" s="18" t="str">
        <x:v>Medium</x:v>
      </x:c>
      <x:c r="J61" s="18" t="str">
        <x:v>High</x:v>
      </x:c>
      <x:c r="K61" s="18" t="str">
        <x:v>Leads / Ads / Affiliate</x:v>
      </x:c>
      <x:c r="L61" s="36" t="n">
        <x:v>54.9</x:v>
      </x:c>
      <x:c r="M61" s="18" t="str">
        <x:v>Backlog</x:v>
      </x:c>
    </x:row>
    <x:row r="62">
      <x:c r="A62" s="14" t="n">
        <x:v>61</x:v>
      </x:c>
      <x:c r="B62" s="18" t="str">
        <x:v>Net Worth calculator</x:v>
      </x:c>
      <x:c r="C62" s="18" t="str">
        <x:v>calculator net worth</x:v>
      </x:c>
      <x:c r="D62" s="18" t="str">
        <x:v>Personal Finance &amp; Investing</x:v>
      </x:c>
      <x:c r="E62" s="18" t="n">
        <x:v>69</x:v>
      </x:c>
      <x:c r="F62" s="32" t="n">
        <x:v>27100</x:v>
      </x:c>
      <x:c r="G62" s="34" t="n">
        <x:v>1.02</x:v>
      </x:c>
      <x:c r="H62" s="18" t="n">
        <x:v>1</x:v>
      </x:c>
      <x:c r="I62" s="18" t="str">
        <x:v>Easy</x:v>
      </x:c>
      <x:c r="J62" s="18" t="str">
        <x:v>High</x:v>
      </x:c>
      <x:c r="K62" s="18" t="str">
        <x:v>Ads / Leads / Affiliate</x:v>
      </x:c>
      <x:c r="L62" s="36" t="n">
        <x:v>54.8</x:v>
      </x:c>
      <x:c r="M62" s="18" t="str">
        <x:v>Backlog</x:v>
      </x:c>
    </x:row>
    <x:row r="63">
      <x:c r="A63" s="14" t="n">
        <x:v>62</x:v>
      </x:c>
      <x:c r="B63" s="18" t="str">
        <x:v>Macros calculator</x:v>
      </x:c>
      <x:c r="C63" s="18" t="str">
        <x:v>calculator macros</x:v>
      </x:c>
      <x:c r="D63" s="18" t="str">
        <x:v>Health, Nutrition &amp; Fitness</x:v>
      </x:c>
      <x:c r="E63" s="18" t="n">
        <x:v>39</x:v>
      </x:c>
      <x:c r="F63" s="32" t="n">
        <x:v>210</x:v>
      </x:c>
      <x:c r="G63" s="34" t="n">
        <x:v>0.75</x:v>
      </x:c>
      <x:c r="H63" s="18" t="n">
        <x:v>1</x:v>
      </x:c>
      <x:c r="I63" s="18" t="str">
        <x:v>Easy</x:v>
      </x:c>
      <x:c r="J63" s="18" t="str">
        <x:v>Medium</x:v>
      </x:c>
      <x:c r="K63" s="18" t="str">
        <x:v>Ads / Affiliate</x:v>
      </x:c>
      <x:c r="L63" s="36" t="n">
        <x:v>54.4</x:v>
      </x:c>
      <x:c r="M63" s="18" t="str">
        <x:v>Backlog</x:v>
      </x:c>
    </x:row>
    <x:row r="64">
      <x:c r="A64" s="14" t="n">
        <x:v>63</x:v>
      </x:c>
      <x:c r="B64" s="18" t="str">
        <x:v>401K Chart By Age calculator</x:v>
      </x:c>
      <x:c r="C64" s="18" t="str">
        <x:v>calculator 401k chart by age</x:v>
      </x:c>
      <x:c r="D64" s="18" t="str">
        <x:v>Personal Finance &amp; Investing</x:v>
      </x:c>
      <x:c r="E64" s="18" t="n">
        <x:v>4</x:v>
      </x:c>
      <x:c r="F64" s="32" t="n">
        <x:v>0</x:v>
      </x:c>
      <x:c r="G64" s="34" t="n">
        <x:v>0</x:v>
      </x:c>
      <x:c r="H64" s="18" t="n">
        <x:v>1</x:v>
      </x:c>
      <x:c r="I64" s="18" t="str">
        <x:v>Medium</x:v>
      </x:c>
      <x:c r="J64" s="18" t="str">
        <x:v>High</x:v>
      </x:c>
      <x:c r="K64" s="18" t="str">
        <x:v>Ads / Leads / Affiliate</x:v>
      </x:c>
      <x:c r="L64" s="36" t="n">
        <x:v>54.2</x:v>
      </x:c>
      <x:c r="M64" s="18" t="str">
        <x:v>Backlog</x:v>
      </x:c>
    </x:row>
    <x:row r="65">
      <x:c r="A65" s="14" t="n">
        <x:v>64</x:v>
      </x:c>
      <x:c r="B65" s="18" t="str">
        <x:v>Used Statistics calculator</x:v>
      </x:c>
      <x:c r="C65" s="18" t="str">
        <x:v>calculator used for statistics</x:v>
      </x:c>
      <x:c r="D65" s="18" t="str">
        <x:v>Math &amp; Education</x:v>
      </x:c>
      <x:c r="E65" s="18" t="n">
        <x:v>23</x:v>
      </x:c>
      <x:c r="F65" s="32" t="n">
        <x:v>10</x:v>
      </x:c>
      <x:c r="G65" s="34" t="n">
        <x:v>0.43</x:v>
      </x:c>
      <x:c r="H65" s="18" t="n">
        <x:v>1</x:v>
      </x:c>
      <x:c r="I65" s="18" t="str">
        <x:v>Easy</x:v>
      </x:c>
      <x:c r="J65" s="18" t="str">
        <x:v>Medium</x:v>
      </x:c>
      <x:c r="K65" s="18" t="str">
        <x:v>Ads / EdTech</x:v>
      </x:c>
      <x:c r="L65" s="36" t="n">
        <x:v>54.1</x:v>
      </x:c>
      <x:c r="M65" s="18" t="str">
        <x:v>Backlog</x:v>
      </x:c>
    </x:row>
    <x:row r="66">
      <x:c r="A66" s="14" t="n">
        <x:v>65</x:v>
      </x:c>
      <x:c r="B66" s="18" t="str">
        <x:v>Messages calculator</x:v>
      </x:c>
      <x:c r="C66" s="18" t="str">
        <x:v>calculator messages</x:v>
      </x:c>
      <x:c r="D66" s="18" t="str">
        <x:v>Date &amp; Time</x:v>
      </x:c>
      <x:c r="E66" s="18" t="n">
        <x:v>38</x:v>
      </x:c>
      <x:c r="F66" s="32" t="n">
        <x:v>260</x:v>
      </x:c>
      <x:c r="G66" s="34" t="n">
        <x:v>0</x:v>
      </x:c>
      <x:c r="H66" s="18" t="n">
        <x:v>1</x:v>
      </x:c>
      <x:c r="I66" s="18" t="str">
        <x:v>Easy</x:v>
      </x:c>
      <x:c r="J66" s="18" t="str">
        <x:v>Medium</x:v>
      </x:c>
      <x:c r="K66" s="18" t="str">
        <x:v>Ads</x:v>
      </x:c>
      <x:c r="L66" s="36" t="n">
        <x:v>53.8</x:v>
      </x:c>
      <x:c r="M66" s="18" t="str">
        <x:v>Backlog</x:v>
      </x:c>
    </x:row>
    <x:row r="67">
      <x:c r="A67" s="14" t="n">
        <x:v>66</x:v>
      </x:c>
      <x:c r="B67" s="18" t="str">
        <x:v>Age calculator</x:v>
      </x:c>
      <x:c r="C67" s="18" t="str">
        <x:v>calculator age</x:v>
      </x:c>
      <x:c r="D67" s="18" t="str">
        <x:v>Date &amp; Time</x:v>
      </x:c>
      <x:c r="E67" s="18" t="n">
        <x:v>53</x:v>
      </x:c>
      <x:c r="F67" s="32" t="n">
        <x:v>1300</x:v>
      </x:c>
      <x:c r="G67" s="34" t="n">
        <x:v>1.56</x:v>
      </x:c>
      <x:c r="H67" s="18" t="n">
        <x:v>1</x:v>
      </x:c>
      <x:c r="I67" s="18" t="str">
        <x:v>Easy</x:v>
      </x:c>
      <x:c r="J67" s="18" t="str">
        <x:v>Medium</x:v>
      </x:c>
      <x:c r="K67" s="18" t="str">
        <x:v>Ads</x:v>
      </x:c>
      <x:c r="L67" s="36" t="n">
        <x:v>53.8</x:v>
      </x:c>
      <x:c r="M67" s="18" t="str">
        <x:v>Backlog</x:v>
      </x:c>
    </x:row>
    <x:row r="68">
      <x:c r="A68" s="14" t="n">
        <x:v>67</x:v>
      </x:c>
      <x:c r="B68" s="18" t="str">
        <x:v>Buying A House calculator</x:v>
      </x:c>
      <x:c r="C68" s="18" t="str">
        <x:v>calculator for buying a house</x:v>
      </x:c>
      <x:c r="D68" s="18" t="str">
        <x:v>Mortgage &amp; Real Estate</x:v>
      </x:c>
      <x:c r="E68" s="18" t="n">
        <x:v>79</x:v>
      </x:c>
      <x:c r="F68" s="32" t="n">
        <x:v>8100</x:v>
      </x:c>
      <x:c r="G68" s="34" t="n">
        <x:v>4.57</x:v>
      </x:c>
      <x:c r="H68" s="18" t="n">
        <x:v>1</x:v>
      </x:c>
      <x:c r="I68" s="18" t="str">
        <x:v>Easy</x:v>
      </x:c>
      <x:c r="J68" s="18" t="str">
        <x:v>High</x:v>
      </x:c>
      <x:c r="K68" s="18" t="str">
        <x:v>Leads / Ads / Affiliate</x:v>
      </x:c>
      <x:c r="L68" s="36" t="n">
        <x:v>53.7</x:v>
      </x:c>
      <x:c r="M68" s="18" t="str">
        <x:v>Backlog</x:v>
      </x:c>
    </x:row>
    <x:row r="69">
      <x:c r="A69" s="14" t="n">
        <x:v>68</x:v>
      </x:c>
      <x:c r="B69" s="18" t="str">
        <x:v>1 Rep Max calculator</x:v>
      </x:c>
      <x:c r="C69" s="18" t="str">
        <x:v>calculator 1 rep max</x:v>
      </x:c>
      <x:c r="D69" s="18" t="str">
        <x:v>Health, Nutrition &amp; Fitness</x:v>
      </x:c>
      <x:c r="E69" s="18" t="n">
        <x:v>40</x:v>
      </x:c>
      <x:c r="F69" s="32" t="n">
        <x:v>320</x:v>
      </x:c>
      <x:c r="G69" s="34" t="n">
        <x:v>0</x:v>
      </x:c>
      <x:c r="H69" s="18" t="n">
        <x:v>1</x:v>
      </x:c>
      <x:c r="I69" s="18" t="str">
        <x:v>Easy</x:v>
      </x:c>
      <x:c r="J69" s="18" t="str">
        <x:v>Medium</x:v>
      </x:c>
      <x:c r="K69" s="18" t="str">
        <x:v>Ads / Affiliate</x:v>
      </x:c>
      <x:c r="L69" s="36" t="n">
        <x:v>53.5</x:v>
      </x:c>
      <x:c r="M69" s="18" t="str">
        <x:v>Backlog</x:v>
      </x:c>
    </x:row>
    <x:row r="70">
      <x:c r="A70" s="14" t="n">
        <x:v>69</x:v>
      </x:c>
      <x:c r="B70" s="18" t="str">
        <x:v>Unemployment Benefits calculator</x:v>
      </x:c>
      <x:c r="C70" s="18" t="str">
        <x:v>calculator unemployment benefits</x:v>
      </x:c>
      <x:c r="D70" s="18" t="str">
        <x:v>Salary, Payroll &amp; Tax</x:v>
      </x:c>
      <x:c r="E70" s="18" t="n">
        <x:v>48</x:v>
      </x:c>
      <x:c r="F70" s="32" t="n">
        <x:v>1900</x:v>
      </x:c>
      <x:c r="G70" s="34" t="n">
        <x:v>2.94</x:v>
      </x:c>
      <x:c r="H70" s="18" t="n">
        <x:v>1</x:v>
      </x:c>
      <x:c r="I70" s="18" t="str">
        <x:v>Complex</x:v>
      </x:c>
      <x:c r="J70" s="18" t="str">
        <x:v>High</x:v>
      </x:c>
      <x:c r="K70" s="18" t="str">
        <x:v>Ads / SaaS leads</x:v>
      </x:c>
      <x:c r="L70" s="36" t="n">
        <x:v>53.4</x:v>
      </x:c>
      <x:c r="M70" s="18" t="str">
        <x:v>Backlog</x:v>
      </x:c>
    </x:row>
    <x:row r="71">
      <x:c r="A71" s="14" t="n">
        <x:v>70</x:v>
      </x:c>
      <x:c r="B71" s="18" t="str">
        <x:v>7Th Cpc Pay Matrix calculator</x:v>
      </x:c>
      <x:c r="C71" s="18" t="str">
        <x:v>calculator 7th cpc pay matrix</x:v>
      </x:c>
      <x:c r="D71" s="18" t="str">
        <x:v>Salary, Payroll &amp; Tax</x:v>
      </x:c>
      <x:c r="E71" s="18" t="n">
        <x:v>4</x:v>
      </x:c>
      <x:c r="F71" s="32" t="n">
        <x:v>0</x:v>
      </x:c>
      <x:c r="G71" s="34" t="n">
        <x:v>0</x:v>
      </x:c>
      <x:c r="H71" s="18" t="n">
        <x:v>1</x:v>
      </x:c>
      <x:c r="I71" s="18" t="str">
        <x:v>Easy</x:v>
      </x:c>
      <x:c r="J71" s="18" t="str">
        <x:v>Low</x:v>
      </x:c>
      <x:c r="K71" s="18" t="str">
        <x:v>Ads / SaaS leads</x:v>
      </x:c>
      <x:c r="L71" s="36" t="n">
        <x:v>53.2</x:v>
      </x:c>
      <x:c r="M71" s="18" t="str">
        <x:v>Backlog</x:v>
      </x:c>
    </x:row>
    <x:row r="72">
      <x:c r="A72" s="14" t="n">
        <x:v>71</x:v>
      </x:c>
      <x:c r="B72" s="18" t="str">
        <x:v>401K Withdrawal calculator</x:v>
      </x:c>
      <x:c r="C72" s="18" t="str">
        <x:v>calculator 401k withdrawal</x:v>
      </x:c>
      <x:c r="D72" s="18" t="str">
        <x:v>Personal Finance &amp; Investing</x:v>
      </x:c>
      <x:c r="E72" s="18" t="n">
        <x:v>55</x:v>
      </x:c>
      <x:c r="F72" s="32" t="n">
        <x:v>12100</x:v>
      </x:c>
      <x:c r="G72" s="34" t="n">
        <x:v>2.04</x:v>
      </x:c>
      <x:c r="H72" s="18" t="n">
        <x:v>1</x:v>
      </x:c>
      <x:c r="I72" s="18" t="str">
        <x:v>Complex</x:v>
      </x:c>
      <x:c r="J72" s="18" t="str">
        <x:v>High</x:v>
      </x:c>
      <x:c r="K72" s="18" t="str">
        <x:v>Ads / Leads / Affiliate</x:v>
      </x:c>
      <x:c r="L72" s="36" t="n">
        <x:v>52.8</x:v>
      </x:c>
      <x:c r="M72" s="18" t="str">
        <x:v>Backlog</x:v>
      </x:c>
    </x:row>
    <x:row r="73">
      <x:c r="A73" s="14" t="n">
        <x:v>72</x:v>
      </x:c>
      <x:c r="B73" s="18" t="str">
        <x:v>Soup Hours calculator</x:v>
      </x:c>
      <x:c r="C73" s="18" t="str">
        <x:v>calculator soup hours</x:v>
      </x:c>
      <x:c r="D73" s="18" t="str">
        <x:v>Date &amp; Time</x:v>
      </x:c>
      <x:c r="E73" s="18" t="n">
        <x:v>53</x:v>
      </x:c>
      <x:c r="F73" s="32" t="n">
        <x:v>2400</x:v>
      </x:c>
      <x:c r="G73" s="34" t="n">
        <x:v>0</x:v>
      </x:c>
      <x:c r="H73" s="18" t="n">
        <x:v>1</x:v>
      </x:c>
      <x:c r="I73" s="18" t="str">
        <x:v>Easy</x:v>
      </x:c>
      <x:c r="J73" s="18" t="str">
        <x:v>Medium</x:v>
      </x:c>
      <x:c r="K73" s="18" t="str">
        <x:v>Ads</x:v>
      </x:c>
      <x:c r="L73" s="36" t="n">
        <x:v>52.5</x:v>
      </x:c>
      <x:c r="M73" s="18" t="str">
        <x:v>Backlog</x:v>
      </x:c>
    </x:row>
    <x:row r="74">
      <x:c r="A74" s="14" t="n">
        <x:v>73</x:v>
      </x:c>
      <x:c r="B74" s="18" t="str">
        <x:v>Tip calculator</x:v>
      </x:c>
      <x:c r="C74" s="18" t="str">
        <x:v>calculator tip</x:v>
      </x:c>
      <x:c r="D74" s="18" t="str">
        <x:v>General / Other</x:v>
      </x:c>
      <x:c r="E74" s="18" t="n">
        <x:v>57</x:v>
      </x:c>
      <x:c r="F74" s="32" t="n">
        <x:v>3600</x:v>
      </x:c>
      <x:c r="G74" s="34" t="n">
        <x:v>0.5</x:v>
      </x:c>
      <x:c r="H74" s="18" t="n">
        <x:v>1</x:v>
      </x:c>
      <x:c r="I74" s="18" t="str">
        <x:v>Easy</x:v>
      </x:c>
      <x:c r="J74" s="18" t="str">
        <x:v>Medium</x:v>
      </x:c>
      <x:c r="K74" s="18" t="str">
        <x:v>Ads</x:v>
      </x:c>
      <x:c r="L74" s="36" t="n">
        <x:v>52.4</x:v>
      </x:c>
      <x:c r="M74" s="18" t="str">
        <x:v>Backlog</x:v>
      </x:c>
    </x:row>
    <x:row r="75">
      <x:c r="A75" s="14" t="n">
        <x:v>74</x:v>
      </x:c>
      <x:c r="B75" s="18" t="str">
        <x:v>Usd To Inr calculator</x:v>
      </x:c>
      <x:c r="C75" s="18" t="str">
        <x:v>calculator usd to inr</x:v>
      </x:c>
      <x:c r="D75" s="18" t="str">
        <x:v>Conversions &amp; Units</x:v>
      </x:c>
      <x:c r="E75" s="18" t="n">
        <x:v>53</x:v>
      </x:c>
      <x:c r="F75" s="32" t="n">
        <x:v>5400</x:v>
      </x:c>
      <x:c r="G75" s="34" t="n">
        <x:v>0.57</x:v>
      </x:c>
      <x:c r="H75" s="18" t="n">
        <x:v>1</x:v>
      </x:c>
      <x:c r="I75" s="18" t="str">
        <x:v>Easy</x:v>
      </x:c>
      <x:c r="J75" s="18" t="str">
        <x:v>Low</x:v>
      </x:c>
      <x:c r="K75" s="18" t="str">
        <x:v>Ads</x:v>
      </x:c>
      <x:c r="L75" s="36" t="n">
        <x:v>52.3</x:v>
      </x:c>
      <x:c r="M75" s="18" t="str">
        <x:v>Backlog</x:v>
      </x:c>
    </x:row>
    <x:row r="76">
      <x:c r="A76" s="14" t="n">
        <x:v>75</x:v>
      </x:c>
      <x:c r="B76" s="18" t="str">
        <x:v>How Much House Can I Afford calculator</x:v>
      </x:c>
      <x:c r="C76" s="18" t="str">
        <x:v>calculator how much house can i afford</x:v>
      </x:c>
      <x:c r="D76" s="18" t="str">
        <x:v>Mortgage &amp; Real Estate</x:v>
      </x:c>
      <x:c r="E76" s="18" t="n">
        <x:v>68</x:v>
      </x:c>
      <x:c r="F76" s="32" t="n">
        <x:v>33100</x:v>
      </x:c>
      <x:c r="G76" s="34" t="n">
        <x:v>3.2</x:v>
      </x:c>
      <x:c r="H76" s="18" t="n">
        <x:v>1</x:v>
      </x:c>
      <x:c r="I76" s="18" t="str">
        <x:v>Complex</x:v>
      </x:c>
      <x:c r="J76" s="18" t="str">
        <x:v>High</x:v>
      </x:c>
      <x:c r="K76" s="18" t="str">
        <x:v>Leads / Ads / Affiliate</x:v>
      </x:c>
      <x:c r="L76" s="36" t="n">
        <x:v>51.4</x:v>
      </x:c>
      <x:c r="M76" s="18" t="str">
        <x:v>Backlog</x:v>
      </x:c>
    </x:row>
    <x:row r="77">
      <x:c r="A77" s="14" t="n">
        <x:v>76</x:v>
      </x:c>
      <x:c r="B77" s="18" t="str">
        <x:v>Statistics calculator</x:v>
      </x:c>
      <x:c r="C77" s="18" t="str">
        <x:v>calculator for statistics</x:v>
      </x:c>
      <x:c r="D77" s="18" t="str">
        <x:v>Math &amp; Education</x:v>
      </x:c>
      <x:c r="E77" s="18" t="n">
        <x:v>52</x:v>
      </x:c>
      <x:c r="F77" s="32" t="n">
        <x:v>590</x:v>
      </x:c>
      <x:c r="G77" s="34" t="n">
        <x:v>0.88</x:v>
      </x:c>
      <x:c r="H77" s="18" t="n">
        <x:v>1</x:v>
      </x:c>
      <x:c r="I77" s="18" t="str">
        <x:v>Easy</x:v>
      </x:c>
      <x:c r="J77" s="18" t="str">
        <x:v>Medium</x:v>
      </x:c>
      <x:c r="K77" s="18" t="str">
        <x:v>Ads / EdTech</x:v>
      </x:c>
      <x:c r="L77" s="36" t="n">
        <x:v>51.2</x:v>
      </x:c>
      <x:c r="M77" s="18" t="str">
        <x:v>Backlog</x:v>
      </x:c>
    </x:row>
    <x:row r="78">
      <x:c r="A78" s="14" t="n">
        <x:v>77</x:v>
      </x:c>
      <x:c r="B78" s="18" t="str">
        <x:v>Birth calculator</x:v>
      </x:c>
      <x:c r="C78" s="18" t="str">
        <x:v>calculator birth</x:v>
      </x:c>
      <x:c r="D78" s="18" t="str">
        <x:v>Pregnancy &amp; Family</x:v>
      </x:c>
      <x:c r="E78" s="18" t="n">
        <x:v>60</x:v>
      </x:c>
      <x:c r="F78" s="32" t="n">
        <x:v>3600</x:v>
      </x:c>
      <x:c r="G78" s="34" t="n">
        <x:v>0.62</x:v>
      </x:c>
      <x:c r="H78" s="18" t="n">
        <x:v>1</x:v>
      </x:c>
      <x:c r="I78" s="18" t="str">
        <x:v>Easy</x:v>
      </x:c>
      <x:c r="J78" s="18" t="str">
        <x:v>Medium</x:v>
      </x:c>
      <x:c r="K78" s="18" t="str">
        <x:v>Ads / Affiliate</x:v>
      </x:c>
      <x:c r="L78" s="36" t="n">
        <x:v>51.2</x:v>
      </x:c>
      <x:c r="M78" s="18" t="str">
        <x:v>Backlog</x:v>
      </x:c>
    </x:row>
    <x:row r="79">
      <x:c r="A79" s="14" t="n">
        <x:v>78</x:v>
      </x:c>
      <x:c r="B79" s="18" t="str">
        <x:v>EUR to USD converter</x:v>
      </x:c>
      <x:c r="C79" s="18" t="str">
        <x:v>calculator euro to dollar</x:v>
      </x:c>
      <x:c r="D79" s="18" t="str">
        <x:v>Conversions &amp; Units</x:v>
      </x:c>
      <x:c r="E79" s="18" t="n">
        <x:v>71</x:v>
      </x:c>
      <x:c r="F79" s="32" t="n">
        <x:v>41500</x:v>
      </x:c>
      <x:c r="G79" s="34" t="n">
        <x:v>0.1</x:v>
      </x:c>
      <x:c r="H79" s="18" t="n">
        <x:v>2</x:v>
      </x:c>
      <x:c r="I79" s="18" t="str">
        <x:v>Easy</x:v>
      </x:c>
      <x:c r="J79" s="18" t="str">
        <x:v>Medium</x:v>
      </x:c>
      <x:c r="K79" s="18" t="str">
        <x:v>Ads</x:v>
      </x:c>
      <x:c r="L79" s="36" t="n">
        <x:v>51.1</x:v>
      </x:c>
      <x:c r="M79" s="18" t="str">
        <x:v>Backlog</x:v>
      </x:c>
    </x:row>
    <x:row r="80">
      <x:c r="A80" s="14" t="n">
        <x:v>79</x:v>
      </x:c>
      <x:c r="B80" s="18" t="str">
        <x:v>Hourly To Salary calculator</x:v>
      </x:c>
      <x:c r="C80" s="18" t="str">
        <x:v>calculator hourly to salary</x:v>
      </x:c>
      <x:c r="D80" s="18" t="str">
        <x:v>Salary, Payroll &amp; Tax</x:v>
      </x:c>
      <x:c r="E80" s="18" t="n">
        <x:v>56</x:v>
      </x:c>
      <x:c r="F80" s="32" t="n">
        <x:v>1600</x:v>
      </x:c>
      <x:c r="G80" s="34" t="n">
        <x:v>1.53</x:v>
      </x:c>
      <x:c r="H80" s="18" t="n">
        <x:v>1</x:v>
      </x:c>
      <x:c r="I80" s="18" t="str">
        <x:v>Medium</x:v>
      </x:c>
      <x:c r="J80" s="18" t="str">
        <x:v>High</x:v>
      </x:c>
      <x:c r="K80" s="18" t="str">
        <x:v>Ads / SaaS leads</x:v>
      </x:c>
      <x:c r="L80" s="36" t="n">
        <x:v>50.9</x:v>
      </x:c>
      <x:c r="M80" s="18" t="str">
        <x:v>Backlog</x:v>
      </x:c>
    </x:row>
    <x:row r="81">
      <x:c r="A81" s="14" t="n">
        <x:v>80</x:v>
      </x:c>
      <x:c r="B81" s="18" t="str">
        <x:v>Usps calculator</x:v>
      </x:c>
      <x:c r="C81" s="18" t="str">
        <x:v>calculator usps</x:v>
      </x:c>
      <x:c r="D81" s="18" t="str">
        <x:v>Government &amp; Benefits</x:v>
      </x:c>
      <x:c r="E81" s="18" t="n">
        <x:v>61</x:v>
      </x:c>
      <x:c r="F81" s="32" t="n">
        <x:v>49500</x:v>
      </x:c>
      <x:c r="G81" s="34" t="n">
        <x:v>0.35</x:v>
      </x:c>
      <x:c r="H81" s="18" t="n">
        <x:v>1</x:v>
      </x:c>
      <x:c r="I81" s="18" t="str">
        <x:v>Complex</x:v>
      </x:c>
      <x:c r="J81" s="18" t="str">
        <x:v>High</x:v>
      </x:c>
      <x:c r="K81" s="18" t="str">
        <x:v>Ads</x:v>
      </x:c>
      <x:c r="L81" s="36" t="n">
        <x:v>50.6</x:v>
      </x:c>
      <x:c r="M81" s="18" t="str">
        <x:v>Backlog</x:v>
      </x:c>
    </x:row>
    <x:row r="82">
      <x:c r="A82" s="14" t="n">
        <x:v>81</x:v>
      </x:c>
      <x:c r="B82" s="18" t="str">
        <x:v>Investment calculator</x:v>
      </x:c>
      <x:c r="C82" s="18" t="str">
        <x:v>calculator investment</x:v>
      </x:c>
      <x:c r="D82" s="18" t="str">
        <x:v>Personal Finance &amp; Investing</x:v>
      </x:c>
      <x:c r="E82" s="18" t="n">
        <x:v>80</x:v>
      </x:c>
      <x:c r="F82" s="32" t="n">
        <x:v>450000</x:v>
      </x:c>
      <x:c r="G82" s="34" t="n">
        <x:v>2.54</x:v>
      </x:c>
      <x:c r="H82" s="18" t="n">
        <x:v>1</x:v>
      </x:c>
      <x:c r="I82" s="18" t="str">
        <x:v>Complex</x:v>
      </x:c>
      <x:c r="J82" s="18" t="str">
        <x:v>High</x:v>
      </x:c>
      <x:c r="K82" s="18" t="str">
        <x:v>Ads / Leads / Affiliate</x:v>
      </x:c>
      <x:c r="L82" s="36" t="n">
        <x:v>50.5</x:v>
      </x:c>
      <x:c r="M82" s="18" t="str">
        <x:v>Backlog</x:v>
      </x:c>
    </x:row>
    <x:row r="83">
      <x:c r="A83" s="14" t="n">
        <x:v>82</x:v>
      </x:c>
      <x:c r="B83" s="18" t="str">
        <x:v>Loan calculator</x:v>
      </x:c>
      <x:c r="C83" s="18" t="str">
        <x:v>calculator loan</x:v>
      </x:c>
      <x:c r="D83" s="18" t="str">
        <x:v>Loans &amp; Auto Finance</x:v>
      </x:c>
      <x:c r="E83" s="18" t="n">
        <x:v>57</x:v>
      </x:c>
      <x:c r="F83" s="32" t="n">
        <x:v>1000</x:v>
      </x:c>
      <x:c r="G83" s="34" t="n">
        <x:v>2</x:v>
      </x:c>
      <x:c r="H83" s="18" t="n">
        <x:v>1</x:v>
      </x:c>
      <x:c r="I83" s="18" t="str">
        <x:v>Medium</x:v>
      </x:c>
      <x:c r="J83" s="18" t="str">
        <x:v>High</x:v>
      </x:c>
      <x:c r="K83" s="18" t="str">
        <x:v>Leads / Ads / Affiliate</x:v>
      </x:c>
      <x:c r="L83" s="36" t="n">
        <x:v>50.1</x:v>
      </x:c>
      <x:c r="M83" s="18" t="str">
        <x:v>Backlog</x:v>
      </x:c>
    </x:row>
    <x:row r="84">
      <x:c r="A84" s="14" t="n">
        <x:v>83</x:v>
      </x:c>
      <x:c r="B84" s="18" t="str">
        <x:v>Calorie deficit calculator</x:v>
      </x:c>
      <x:c r="C84" s="18" t="str">
        <x:v>calculator calorie deficit</x:v>
      </x:c>
      <x:c r="D84" s="18" t="str">
        <x:v>Health, Nutrition &amp; Fitness</x:v>
      </x:c>
      <x:c r="E84" s="18" t="n">
        <x:v>67</x:v>
      </x:c>
      <x:c r="F84" s="32" t="n">
        <x:v>6200</x:v>
      </x:c>
      <x:c r="G84" s="34" t="n">
        <x:v>1.02</x:v>
      </x:c>
      <x:c r="H84" s="18" t="n">
        <x:v>3</x:v>
      </x:c>
      <x:c r="I84" s="18" t="str">
        <x:v>Easy</x:v>
      </x:c>
      <x:c r="J84" s="18" t="str">
        <x:v>Medium</x:v>
      </x:c>
      <x:c r="K84" s="18" t="str">
        <x:v>Ads / Affiliate</x:v>
      </x:c>
      <x:c r="L84" s="36" t="n">
        <x:v>50</x:v>
      </x:c>
      <x:c r="M84" s="18" t="str">
        <x:v>Backlog</x:v>
      </x:c>
    </x:row>
    <x:row r="85">
      <x:c r="A85" s="14" t="n">
        <x:v>84</x:v>
      </x:c>
      <x:c r="B85" s="18" t="str">
        <x:v>Monthly Payment calculator</x:v>
      </x:c>
      <x:c r="C85" s="18" t="str">
        <x:v>calculator monthly payment</x:v>
      </x:c>
      <x:c r="D85" s="18" t="str">
        <x:v>Loans &amp; Auto Finance</x:v>
      </x:c>
      <x:c r="E85" s="18" t="n">
        <x:v>81</x:v>
      </x:c>
      <x:c r="F85" s="32" t="n">
        <x:v>33100</x:v>
      </x:c>
      <x:c r="G85" s="34" t="n">
        <x:v>1.08</x:v>
      </x:c>
      <x:c r="H85" s="18" t="n">
        <x:v>1</x:v>
      </x:c>
      <x:c r="I85" s="18" t="str">
        <x:v>Easy</x:v>
      </x:c>
      <x:c r="J85" s="18" t="str">
        <x:v>High</x:v>
      </x:c>
      <x:c r="K85" s="18" t="str">
        <x:v>Leads / Ads / Affiliate</x:v>
      </x:c>
      <x:c r="L85" s="36" t="n">
        <x:v>49.8</x:v>
      </x:c>
      <x:c r="M85" s="18" t="str">
        <x:v>Backlog</x:v>
      </x:c>
    </x:row>
    <x:row r="86">
      <x:c r="A86" s="14" t="n">
        <x:v>85</x:v>
      </x:c>
      <x:c r="B86" s="18" t="str">
        <x:v>Zodiac calculator</x:v>
      </x:c>
      <x:c r="C86" s="18" t="str">
        <x:v>calculator zodiac</x:v>
      </x:c>
      <x:c r="D86" s="18" t="str">
        <x:v>Lifestyle &amp; Entertainment</x:v>
      </x:c>
      <x:c r="E86" s="18" t="n">
        <x:v>69</x:v>
      </x:c>
      <x:c r="F86" s="32" t="n">
        <x:v>5400</x:v>
      </x:c>
      <x:c r="G86" s="34" t="n">
        <x:v>1.42</x:v>
      </x:c>
      <x:c r="H86" s="18" t="n">
        <x:v>1</x:v>
      </x:c>
      <x:c r="I86" s="18" t="str">
        <x:v>Easy</x:v>
      </x:c>
      <x:c r="J86" s="18" t="str">
        <x:v>Medium</x:v>
      </x:c>
      <x:c r="K86" s="18" t="str">
        <x:v>Ads</x:v>
      </x:c>
      <x:c r="L86" s="36" t="n">
        <x:v>49.6</x:v>
      </x:c>
      <x:c r="M86" s="18" t="str">
        <x:v>Backlog</x:v>
      </x:c>
    </x:row>
    <x:row r="87">
      <x:c r="A87" s="14" t="n">
        <x:v>86</x:v>
      </x:c>
      <x:c r="B87" s="18" t="str">
        <x:v>Gross Income calculator</x:v>
      </x:c>
      <x:c r="C87" s="18" t="str">
        <x:v>calculator gross income</x:v>
      </x:c>
      <x:c r="D87" s="18" t="str">
        <x:v>Salary, Payroll &amp; Tax</x:v>
      </x:c>
      <x:c r="E87" s="18" t="n">
        <x:v>68</x:v>
      </x:c>
      <x:c r="F87" s="32" t="n">
        <x:v>1900</x:v>
      </x:c>
      <x:c r="G87" s="34" t="n">
        <x:v>1.25</x:v>
      </x:c>
      <x:c r="H87" s="18" t="n">
        <x:v>1</x:v>
      </x:c>
      <x:c r="I87" s="18" t="str">
        <x:v>Easy</x:v>
      </x:c>
      <x:c r="J87" s="18" t="str">
        <x:v>High</x:v>
      </x:c>
      <x:c r="K87" s="18" t="str">
        <x:v>Ads / SaaS leads</x:v>
      </x:c>
      <x:c r="L87" s="36" t="n">
        <x:v>49.4</x:v>
      </x:c>
      <x:c r="M87" s="18" t="str">
        <x:v>Backlog</x:v>
      </x:c>
    </x:row>
    <x:row r="88">
      <x:c r="A88" s="14" t="n">
        <x:v>87</x:v>
      </x:c>
      <x:c r="B88" s="18" t="str">
        <x:v>401K Growth calculator</x:v>
      </x:c>
      <x:c r="C88" s="18" t="str">
        <x:v>calculator 401k growth</x:v>
      </x:c>
      <x:c r="D88" s="18" t="str">
        <x:v>Personal Finance &amp; Investing</x:v>
      </x:c>
      <x:c r="E88" s="18" t="n">
        <x:v>66</x:v>
      </x:c>
      <x:c r="F88" s="32" t="n">
        <x:v>6600</x:v>
      </x:c>
      <x:c r="G88" s="34" t="n">
        <x:v>1.21</x:v>
      </x:c>
      <x:c r="H88" s="18" t="n">
        <x:v>1</x:v>
      </x:c>
      <x:c r="I88" s="18" t="str">
        <x:v>Medium</x:v>
      </x:c>
      <x:c r="J88" s="18" t="str">
        <x:v>High</x:v>
      </x:c>
      <x:c r="K88" s="18" t="str">
        <x:v>Ads / Leads / Affiliate</x:v>
      </x:c>
      <x:c r="L88" s="36" t="n">
        <x:v>49.2</x:v>
      </x:c>
      <x:c r="M88" s="18" t="str">
        <x:v>Backlog</x:v>
      </x:c>
    </x:row>
    <x:row r="89">
      <x:c r="A89" s="14" t="n">
        <x:v>88</x:v>
      </x:c>
      <x:c r="B89" s="18" t="str">
        <x:v>Calendar calculator</x:v>
      </x:c>
      <x:c r="C89" s="18" t="str">
        <x:v>calculator calendar</x:v>
      </x:c>
      <x:c r="D89" s="18" t="str">
        <x:v>Date &amp; Time</x:v>
      </x:c>
      <x:c r="E89" s="18" t="n">
        <x:v>59</x:v>
      </x:c>
      <x:c r="F89" s="32" t="n">
        <x:v>1900</x:v>
      </x:c>
      <x:c r="G89" s="34" t="n">
        <x:v>0.02</x:v>
      </x:c>
      <x:c r="H89" s="18" t="n">
        <x:v>1</x:v>
      </x:c>
      <x:c r="I89" s="18" t="str">
        <x:v>Easy</x:v>
      </x:c>
      <x:c r="J89" s="18" t="str">
        <x:v>Medium</x:v>
      </x:c>
      <x:c r="K89" s="18" t="str">
        <x:v>Ads</x:v>
      </x:c>
      <x:c r="L89" s="36" t="n">
        <x:v>49.1</x:v>
      </x:c>
      <x:c r="M89" s="18" t="str">
        <x:v>Backlog</x:v>
      </x:c>
    </x:row>
    <x:row r="90">
      <x:c r="A90" s="14" t="n">
        <x:v>89</x:v>
      </x:c>
      <x:c r="B90" s="18" t="str">
        <x:v>Tax calculator</x:v>
      </x:c>
      <x:c r="C90" s="18" t="str">
        <x:v>calculator tax</x:v>
      </x:c>
      <x:c r="D90" s="18" t="str">
        <x:v>Salary, Payroll &amp; Tax</x:v>
      </x:c>
      <x:c r="E90" s="18" t="n">
        <x:v>57</x:v>
      </x:c>
      <x:c r="F90" s="32" t="n">
        <x:v>590</x:v>
      </x:c>
      <x:c r="G90" s="34" t="n">
        <x:v>3.59</x:v>
      </x:c>
      <x:c r="H90" s="18" t="n">
        <x:v>1</x:v>
      </x:c>
      <x:c r="I90" s="18" t="str">
        <x:v>Complex</x:v>
      </x:c>
      <x:c r="J90" s="18" t="str">
        <x:v>High</x:v>
      </x:c>
      <x:c r="K90" s="18" t="str">
        <x:v>Ads / SaaS leads</x:v>
      </x:c>
      <x:c r="L90" s="36" t="n">
        <x:v>47.8</x:v>
      </x:c>
      <x:c r="M90" s="18" t="str">
        <x:v>Backlog</x:v>
      </x:c>
    </x:row>
    <x:row r="91">
      <x:c r="A91" s="14" t="n">
        <x:v>90</x:v>
      </x:c>
      <x:c r="B91" s="18" t="str">
        <x:v>Net Tdee calculator</x:v>
      </x:c>
      <x:c r="C91" s="18" t="str">
        <x:v>calculator net tdee</x:v>
      </x:c>
      <x:c r="D91" s="18" t="str">
        <x:v>Health, Nutrition &amp; Fitness</x:v>
      </x:c>
      <x:c r="E91" s="18" t="n">
        <x:v>42</x:v>
      </x:c>
      <x:c r="F91" s="32" t="n">
        <x:v>90</x:v>
      </x:c>
      <x:c r="G91" s="34" t="n">
        <x:v>1.13</x:v>
      </x:c>
      <x:c r="H91" s="18" t="n">
        <x:v>1</x:v>
      </x:c>
      <x:c r="I91" s="18" t="str">
        <x:v>Medium</x:v>
      </x:c>
      <x:c r="J91" s="18" t="str">
        <x:v>Medium</x:v>
      </x:c>
      <x:c r="K91" s="18" t="str">
        <x:v>Ads / Affiliate</x:v>
      </x:c>
      <x:c r="L91" s="36" t="n">
        <x:v>47.7</x:v>
      </x:c>
      <x:c r="M91" s="18" t="str">
        <x:v>Backlog</x:v>
      </x:c>
    </x:row>
    <x:row r="92">
      <x:c r="A92" s="14" t="n">
        <x:v>91</x:v>
      </x:c>
      <x:c r="B92" s="18" t="str">
        <x:v>Large Numbers calculator</x:v>
      </x:c>
      <x:c r="C92" s="18" t="str">
        <x:v>calculator large numbers</x:v>
      </x:c>
      <x:c r="D92" s="18" t="str">
        <x:v>Math &amp; Education</x:v>
      </x:c>
      <x:c r="E92" s="18" t="n">
        <x:v>72</x:v>
      </x:c>
      <x:c r="F92" s="32" t="n">
        <x:v>6600</x:v>
      </x:c>
      <x:c r="G92" s="34" t="n">
        <x:v>0.65</x:v>
      </x:c>
      <x:c r="H92" s="18" t="n">
        <x:v>1</x:v>
      </x:c>
      <x:c r="I92" s="18" t="str">
        <x:v>Easy</x:v>
      </x:c>
      <x:c r="J92" s="18" t="str">
        <x:v>Medium</x:v>
      </x:c>
      <x:c r="K92" s="18" t="str">
        <x:v>Ads / EdTech</x:v>
      </x:c>
      <x:c r="L92" s="36" t="n">
        <x:v>47.5</x:v>
      </x:c>
      <x:c r="M92" s="18" t="str">
        <x:v>Backlog</x:v>
      </x:c>
    </x:row>
    <x:row r="93">
      <x:c r="A93" s="14" t="n">
        <x:v>92</x:v>
      </x:c>
      <x:c r="B93" s="18" t="str">
        <x:v>Inches To Feet calculator</x:v>
      </x:c>
      <x:c r="C93" s="18" t="str">
        <x:v>calculator inches to feet</x:v>
      </x:c>
      <x:c r="D93" s="18" t="str">
        <x:v>Conversions &amp; Units</x:v>
      </x:c>
      <x:c r="E93" s="18" t="n">
        <x:v>52</x:v>
      </x:c>
      <x:c r="F93" s="32" t="n">
        <x:v>210</x:v>
      </x:c>
      <x:c r="G93" s="34" t="n">
        <x:v>0</x:v>
      </x:c>
      <x:c r="H93" s="18" t="n">
        <x:v>1</x:v>
      </x:c>
      <x:c r="I93" s="18" t="str">
        <x:v>Easy</x:v>
      </x:c>
      <x:c r="J93" s="18" t="str">
        <x:v>Medium</x:v>
      </x:c>
      <x:c r="K93" s="18" t="str">
        <x:v>Ads</x:v>
      </x:c>
      <x:c r="L93" s="36" t="n">
        <x:v>47.2</x:v>
      </x:c>
      <x:c r="M93" s="18" t="str">
        <x:v>Backlog</x:v>
      </x:c>
    </x:row>
    <x:row r="94">
      <x:c r="A94" s="14" t="n">
        <x:v>93</x:v>
      </x:c>
      <x:c r="B94" s="18" t="str">
        <x:v>Bmi calculator</x:v>
      </x:c>
      <x:c r="C94" s="18" t="str">
        <x:v>calculator bmi</x:v>
      </x:c>
      <x:c r="D94" s="18" t="str">
        <x:v>Health, Nutrition &amp; Fitness</x:v>
      </x:c>
      <x:c r="E94" s="18" t="n">
        <x:v>68</x:v>
      </x:c>
      <x:c r="F94" s="32" t="n">
        <x:v>1900</x:v>
      </x:c>
      <x:c r="G94" s="34" t="n">
        <x:v>0.85</x:v>
      </x:c>
      <x:c r="H94" s="18" t="n">
        <x:v>1</x:v>
      </x:c>
      <x:c r="I94" s="18" t="str">
        <x:v>Easy</x:v>
      </x:c>
      <x:c r="J94" s="18" t="str">
        <x:v>Medium</x:v>
      </x:c>
      <x:c r="K94" s="18" t="str">
        <x:v>Ads / Affiliate</x:v>
      </x:c>
      <x:c r="L94" s="36" t="n">
        <x:v>46.6</x:v>
      </x:c>
      <x:c r="M94" s="18" t="str">
        <x:v>Backlog</x:v>
      </x:c>
    </x:row>
    <x:row r="95">
      <x:c r="A95" s="14" t="n">
        <x:v>94</x:v>
      </x:c>
      <x:c r="B95" s="18" t="str">
        <x:v>Net Height calculator</x:v>
      </x:c>
      <x:c r="C95" s="18" t="str">
        <x:v>calculator net height</x:v>
      </x:c>
      <x:c r="D95" s="18" t="str">
        <x:v>General / Other</x:v>
      </x:c>
      <x:c r="E95" s="18" t="n">
        <x:v>48</x:v>
      </x:c>
      <x:c r="F95" s="32" t="n">
        <x:v>50</x:v>
      </x:c>
      <x:c r="G95" s="34" t="n">
        <x:v>0</x:v>
      </x:c>
      <x:c r="H95" s="18" t="n">
        <x:v>1</x:v>
      </x:c>
      <x:c r="I95" s="18" t="str">
        <x:v>Easy</x:v>
      </x:c>
      <x:c r="J95" s="18" t="str">
        <x:v>Medium</x:v>
      </x:c>
      <x:c r="K95" s="18" t="str">
        <x:v>Ads</x:v>
      </x:c>
      <x:c r="L95" s="36" t="n">
        <x:v>45.7</x:v>
      </x:c>
      <x:c r="M95" s="18" t="str">
        <x:v>Backlog</x:v>
      </x:c>
    </x:row>
    <x:row r="96">
      <x:c r="A96" s="14" t="n">
        <x:v>95</x:v>
      </x:c>
      <x:c r="B96" s="18" t="str">
        <x:v>.Net Tdee calculator</x:v>
      </x:c>
      <x:c r="C96" s="18" t="str">
        <x:v>calculator.net tdee</x:v>
      </x:c>
      <x:c r="D96" s="18" t="str">
        <x:v>Health, Nutrition &amp; Fitness</x:v>
      </x:c>
      <x:c r="E96" s="18" t="n">
        <x:v>61</x:v>
      </x:c>
      <x:c r="F96" s="32" t="n">
        <x:v>1300</x:v>
      </x:c>
      <x:c r="G96" s="34" t="n">
        <x:v>1.26</x:v>
      </x:c>
      <x:c r="H96" s="18" t="n">
        <x:v>1</x:v>
      </x:c>
      <x:c r="I96" s="18" t="str">
        <x:v>Medium</x:v>
      </x:c>
      <x:c r="J96" s="18" t="str">
        <x:v>Medium</x:v>
      </x:c>
      <x:c r="K96" s="18" t="str">
        <x:v>Ads / Affiliate</x:v>
      </x:c>
      <x:c r="L96" s="36" t="n">
        <x:v>45.6</x:v>
      </x:c>
      <x:c r="M96" s="18" t="str">
        <x:v>Backlog</x:v>
      </x:c>
    </x:row>
    <x:row r="97">
      <x:c r="A97" s="14" t="n">
        <x:v>96</x:v>
      </x:c>
      <x:c r="B97" s="18" t="str">
        <x:v>20 Percent calculator</x:v>
      </x:c>
      <x:c r="C97" s="18" t="str">
        <x:v>calculator 20 percent</x:v>
      </x:c>
      <x:c r="D97" s="18" t="str">
        <x:v>Math &amp; Education</x:v>
      </x:c>
      <x:c r="E97" s="18" t="n">
        <x:v>56</x:v>
      </x:c>
      <x:c r="F97" s="32" t="n">
        <x:v>210</x:v>
      </x:c>
      <x:c r="G97" s="34" t="n">
        <x:v>0</x:v>
      </x:c>
      <x:c r="H97" s="18" t="n">
        <x:v>1</x:v>
      </x:c>
      <x:c r="I97" s="18" t="str">
        <x:v>Easy</x:v>
      </x:c>
      <x:c r="J97" s="18" t="str">
        <x:v>Medium</x:v>
      </x:c>
      <x:c r="K97" s="18" t="str">
        <x:v>Ads / EdTech</x:v>
      </x:c>
      <x:c r="L97" s="36" t="n">
        <x:v>45.4</x:v>
      </x:c>
      <x:c r="M97" s="18" t="str">
        <x:v>Backlog</x:v>
      </x:c>
    </x:row>
    <x:row r="98">
      <x:c r="A98" s="14" t="n">
        <x:v>97</x:v>
      </x:c>
      <x:c r="B98" s="18" t="str">
        <x:v>Unit Converter</x:v>
      </x:c>
      <x:c r="C98" s="18" t="str">
        <x:v>calculator unit converter</x:v>
      </x:c>
      <x:c r="D98" s="18" t="str">
        <x:v>Conversions &amp; Units</x:v>
      </x:c>
      <x:c r="E98" s="18" t="n">
        <x:v>55</x:v>
      </x:c>
      <x:c r="F98" s="32" t="n">
        <x:v>140</x:v>
      </x:c>
      <x:c r="G98" s="34" t="n">
        <x:v>0</x:v>
      </x:c>
      <x:c r="H98" s="18" t="n">
        <x:v>1</x:v>
      </x:c>
      <x:c r="I98" s="18" t="str">
        <x:v>Easy</x:v>
      </x:c>
      <x:c r="J98" s="18" t="str">
        <x:v>Medium</x:v>
      </x:c>
      <x:c r="K98" s="18" t="str">
        <x:v>Ads</x:v>
      </x:c>
      <x:c r="L98" s="36" t="n">
        <x:v>45</x:v>
      </x:c>
      <x:c r="M98" s="18" t="str">
        <x:v>Backlog</x:v>
      </x:c>
    </x:row>
    <x:row r="99">
      <x:c r="A99" s="14" t="n">
        <x:v>98</x:v>
      </x:c>
      <x:c r="B99" s="18" t="str">
        <x:v>Years calculator</x:v>
      </x:c>
      <x:c r="C99" s="18" t="str">
        <x:v>calculator years</x:v>
      </x:c>
      <x:c r="D99" s="18" t="str">
        <x:v>Date &amp; Time</x:v>
      </x:c>
      <x:c r="E99" s="18" t="n">
        <x:v>78</x:v>
      </x:c>
      <x:c r="F99" s="32" t="n">
        <x:v>9900</x:v>
      </x:c>
      <x:c r="G99" s="34" t="n">
        <x:v>0.04</x:v>
      </x:c>
      <x:c r="H99" s="18" t="n">
        <x:v>1</x:v>
      </x:c>
      <x:c r="I99" s="18" t="str">
        <x:v>Easy</x:v>
      </x:c>
      <x:c r="J99" s="18" t="str">
        <x:v>Medium</x:v>
      </x:c>
      <x:c r="K99" s="18" t="str">
        <x:v>Ads</x:v>
      </x:c>
      <x:c r="L99" s="36" t="n">
        <x:v>44.5</x:v>
      </x:c>
      <x:c r="M99" s="18" t="str">
        <x:v>Backlog</x:v>
      </x:c>
    </x:row>
    <x:row r="100">
      <x:c r="A100" s="14" t="n">
        <x:v>99</x:v>
      </x:c>
      <x:c r="B100" s="18" t="str">
        <x:v>Volume calculator</x:v>
      </x:c>
      <x:c r="C100" s="18" t="str">
        <x:v>calculator volume</x:v>
      </x:c>
      <x:c r="D100" s="18" t="str">
        <x:v>Math &amp; Education</x:v>
      </x:c>
      <x:c r="E100" s="18" t="n">
        <x:v>56</x:v>
      </x:c>
      <x:c r="F100" s="32" t="n">
        <x:v>110</x:v>
      </x:c>
      <x:c r="G100" s="34" t="n">
        <x:v>0</x:v>
      </x:c>
      <x:c r="H100" s="18" t="n">
        <x:v>1</x:v>
      </x:c>
      <x:c r="I100" s="18" t="str">
        <x:v>Easy</x:v>
      </x:c>
      <x:c r="J100" s="18" t="str">
        <x:v>Medium</x:v>
      </x:c>
      <x:c r="K100" s="18" t="str">
        <x:v>Ads / EdTech</x:v>
      </x:c>
      <x:c r="L100" s="36" t="n">
        <x:v>43.9</x:v>
      </x:c>
      <x:c r="M100" s="18" t="str">
        <x:v>Backlog</x:v>
      </x:c>
    </x:row>
    <x:row r="101">
      <x:c r="A101" s="14" t="n">
        <x:v>100</x:v>
      </x:c>
      <x:c r="B101" s="18" t="str">
        <x:v>Z Score calculator</x:v>
      </x:c>
      <x:c r="C101" s="18" t="str">
        <x:v>calculator z score</x:v>
      </x:c>
      <x:c r="D101" s="18" t="str">
        <x:v>Math &amp; Education</x:v>
      </x:c>
      <x:c r="E101" s="18" t="n">
        <x:v>52</x:v>
      </x:c>
      <x:c r="F101" s="32" t="n">
        <x:v>40</x:v>
      </x:c>
      <x:c r="G101" s="34" t="n">
        <x:v>0</x:v>
      </x:c>
      <x:c r="H101" s="18" t="n">
        <x:v>1</x:v>
      </x:c>
      <x:c r="I101" s="18" t="str">
        <x:v>Easy</x:v>
      </x:c>
      <x:c r="J101" s="18" t="str">
        <x:v>Medium</x:v>
      </x:c>
      <x:c r="K101" s="18" t="str">
        <x:v>Ads / EdTech</x:v>
      </x:c>
      <x:c r="L101" s="36" t="n">
        <x:v>43.3</x:v>
      </x:c>
      <x:c r="M101" s="18" t="str">
        <x:v>Backlog</x:v>
      </x:c>
    </x:row>
    <x:row r="102">
      <x:c r="A102" s="14" t="n">
        <x:v>101</x:v>
      </x:c>
      <x:c r="B102" s="18" t="str">
        <x:v>Bmr calculator</x:v>
      </x:c>
      <x:c r="C102" s="18" t="str">
        <x:v>calculator bmr</x:v>
      </x:c>
      <x:c r="D102" s="18" t="str">
        <x:v>Health, Nutrition &amp; Fitness</x:v>
      </x:c>
      <x:c r="E102" s="18" t="n">
        <x:v>62</x:v>
      </x:c>
      <x:c r="F102" s="32" t="n">
        <x:v>480</x:v>
      </x:c>
      <x:c r="G102" s="34" t="n">
        <x:v>1.01</x:v>
      </x:c>
      <x:c r="H102" s="18" t="n">
        <x:v>1</x:v>
      </x:c>
      <x:c r="I102" s="18" t="str">
        <x:v>Medium</x:v>
      </x:c>
      <x:c r="J102" s="18" t="str">
        <x:v>Medium</x:v>
      </x:c>
      <x:c r="K102" s="18" t="str">
        <x:v>Ads / Affiliate</x:v>
      </x:c>
      <x:c r="L102" s="36" t="n">
        <x:v>42.3</x:v>
      </x:c>
      <x:c r="M102" s="18" t="str">
        <x:v>Backlog</x:v>
      </x:c>
    </x:row>
    <x:row r="103">
      <x:c r="A103" s="14" t="n">
        <x:v>102</x:v>
      </x:c>
      <x:c r="B103" s="18" t="str">
        <x:v>Uscis calculator</x:v>
      </x:c>
      <x:c r="C103" s="18" t="str">
        <x:v>calculator uscis</x:v>
      </x:c>
      <x:c r="D103" s="18" t="str">
        <x:v>Government &amp; Benefits</x:v>
      </x:c>
      <x:c r="E103" s="18" t="n">
        <x:v>44</x:v>
      </x:c>
      <x:c r="F103" s="32" t="n">
        <x:v>70</x:v>
      </x:c>
      <x:c r="G103" s="34" t="n">
        <x:v>0</x:v>
      </x:c>
      <x:c r="H103" s="18" t="n">
        <x:v>1</x:v>
      </x:c>
      <x:c r="I103" s="18" t="str">
        <x:v>Complex</x:v>
      </x:c>
      <x:c r="J103" s="18" t="str">
        <x:v>High</x:v>
      </x:c>
      <x:c r="K103" s="18" t="str">
        <x:v>Ads</x:v>
      </x:c>
      <x:c r="L103" s="36" t="n">
        <x:v>42.1</x:v>
      </x:c>
      <x:c r="M103" s="18" t="str">
        <x:v>Backlog</x:v>
      </x:c>
    </x:row>
    <x:row r="104">
      <x:c r="A104" s="14" t="n">
        <x:v>103</x:v>
      </x:c>
      <x:c r="B104" s="18" t="str">
        <x:v>50 30 20 calculator</x:v>
      </x:c>
      <x:c r="C104" s="18" t="str">
        <x:v>calculator 50 30 20</x:v>
      </x:c>
      <x:c r="D104" s="18" t="str">
        <x:v>General / Other</x:v>
      </x:c>
      <x:c r="E104" s="18" t="n">
        <x:v>56</x:v>
      </x:c>
      <x:c r="F104" s="32" t="n">
        <x:v>20</x:v>
      </x:c>
      <x:c r="G104" s="34" t="n">
        <x:v>0</x:v>
      </x:c>
      <x:c r="H104" s="18" t="n">
        <x:v>1</x:v>
      </x:c>
      <x:c r="I104" s="18" t="str">
        <x:v>Easy</x:v>
      </x:c>
      <x:c r="J104" s="18" t="str">
        <x:v>Medium</x:v>
      </x:c>
      <x:c r="K104" s="18" t="str">
        <x:v>Ads</x:v>
      </x:c>
      <x:c r="L104" s="36" t="n">
        <x:v>40</x:v>
      </x:c>
      <x:c r="M104" s="18" t="str">
        <x:v>Backlog</x:v>
      </x:c>
    </x:row>
  </x:sheetData>
  <x:conditionalFormatting sqref="E2:E104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L2:L104">
    <x:cfRule type="colorScale" priority="2">
      <x:colorScale>
        <x:cfvo type="min"/>
        <x:cfvo type="percentile" val="50"/>
        <x:cfvo type="max"/>
        <x:color rgb="FFFFC7CE"/>
        <x:color rgb="FFFFEB9C"/>
        <x:color rgb="FFC6EF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abc2bd80c8c41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2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</x:cols>
  <x:sheetData>
    <x:row r="1">
      <x:c r="A1" s="8" t="str">
        <x:v>Category</x:v>
      </x:c>
      <x:c r="B1" s="8" t="str">
        <x:v>Relevant Keywords</x:v>
      </x:c>
      <x:c r="C1" s="8" t="str">
        <x:v>Confirmed Real</x:v>
      </x:c>
      <x:c r="D1" s="8" t="str">
        <x:v>Ambiguous</x:v>
      </x:c>
      <x:c r="E1" s="8" t="str">
        <x:v>Unique Opportunities</x:v>
      </x:c>
      <x:c r="F1" s="8" t="str">
        <x:v>Combined Search Volume*</x:v>
      </x:c>
      <x:c r="G1" s="8" t="str">
        <x:v>Average SEO Difficulty</x:v>
      </x:c>
      <x:c r="H1" s="8" t="str">
        <x:v>Average CPC (USD)</x:v>
      </x:c>
    </x:row>
    <x:row r="2">
      <x:c r="A2" s="14" t="str">
        <x:v>General / Other</x:v>
      </x:c>
      <x:c r="B2" s="14" t="n">
        <x:v>118</x:v>
      </x:c>
      <x:c r="C2" s="14" t="n">
        <x:v>7</x:v>
      </x:c>
      <x:c r="D2" s="14" t="n">
        <x:v>111</x:v>
      </x:c>
      <x:c r="E2" s="14" t="n">
        <x:v>117</x:v>
      </x:c>
      <x:c r="F2" s="26" t="n">
        <x:v>31103620</x:v>
      </x:c>
      <x:c r="G2" s="30" t="n">
        <x:v>30.2</x:v>
      </x:c>
      <x:c r="H2" s="28" t="n">
        <x:v>1.16</x:v>
      </x:c>
    </x:row>
    <x:row r="3">
      <x:c r="A3" s="14" t="str">
        <x:v>Personal Finance &amp; Investing</x:v>
      </x:c>
      <x:c r="B3" s="14" t="n">
        <x:v>14</x:v>
      </x:c>
      <x:c r="C3" s="14" t="n">
        <x:v>13</x:v>
      </x:c>
      <x:c r="D3" s="14" t="n">
        <x:v>1</x:v>
      </x:c>
      <x:c r="E3" s="14" t="n">
        <x:v>14</x:v>
      </x:c>
      <x:c r="F3" s="26" t="n">
        <x:v>2423330</x:v>
      </x:c>
      <x:c r="G3" s="30" t="n">
        <x:v>50.1</x:v>
      </x:c>
      <x:c r="H3" s="28" t="n">
        <x:v>1.94</x:v>
      </x:c>
    </x:row>
    <x:row r="4">
      <x:c r="A4" s="14" t="str">
        <x:v>Loans &amp; Auto Finance</x:v>
      </x:c>
      <x:c r="B4" s="14" t="n">
        <x:v>10</x:v>
      </x:c>
      <x:c r="C4" s="14" t="n">
        <x:v>10</x:v>
      </x:c>
      <x:c r="D4" s="14" t="n">
        <x:v>0</x:v>
      </x:c>
      <x:c r="E4" s="14" t="n">
        <x:v>5</x:v>
      </x:c>
      <x:c r="F4" s="26" t="n">
        <x:v>2240300</x:v>
      </x:c>
      <x:c r="G4" s="30" t="n">
        <x:v>58.3</x:v>
      </x:c>
      <x:c r="H4" s="28" t="n">
        <x:v>1.32</x:v>
      </x:c>
    </x:row>
    <x:row r="5">
      <x:c r="A5" s="14" t="str">
        <x:v>Health, Nutrition &amp; Fitness</x:v>
      </x:c>
      <x:c r="B5" s="14" t="n">
        <x:v>15</x:v>
      </x:c>
      <x:c r="C5" s="14" t="n">
        <x:v>15</x:v>
      </x:c>
      <x:c r="D5" s="14" t="n">
        <x:v>0</x:v>
      </x:c>
      <x:c r="E5" s="14" t="n">
        <x:v>11</x:v>
      </x:c>
      <x:c r="F5" s="26" t="n">
        <x:v>1233790</x:v>
      </x:c>
      <x:c r="G5" s="30" t="n">
        <x:v>53</x:v>
      </x:c>
      <x:c r="H5" s="28" t="n">
        <x:v>0.86</x:v>
      </x:c>
    </x:row>
    <x:row r="6">
      <x:c r="A6" s="14" t="str">
        <x:v>Math &amp; Education</x:v>
      </x:c>
      <x:c r="B6" s="14" t="n">
        <x:v>20</x:v>
      </x:c>
      <x:c r="C6" s="14" t="n">
        <x:v>20</x:v>
      </x:c>
      <x:c r="D6" s="14" t="n">
        <x:v>0</x:v>
      </x:c>
      <x:c r="E6" s="14" t="n">
        <x:v>16</x:v>
      </x:c>
      <x:c r="F6" s="26" t="n">
        <x:v>1088810</x:v>
      </x:c>
      <x:c r="G6" s="30" t="n">
        <x:v>44.5</x:v>
      </x:c>
      <x:c r="H6" s="28" t="n">
        <x:v>1.35</x:v>
      </x:c>
    </x:row>
    <x:row r="7">
      <x:c r="A7" s="14" t="str">
        <x:v>Date &amp; Time</x:v>
      </x:c>
      <x:c r="B7" s="14" t="n">
        <x:v>24</x:v>
      </x:c>
      <x:c r="C7" s="14" t="n">
        <x:v>24</x:v>
      </x:c>
      <x:c r="D7" s="14" t="n">
        <x:v>0</x:v>
      </x:c>
      <x:c r="E7" s="14" t="n">
        <x:v>14</x:v>
      </x:c>
      <x:c r="F7" s="26" t="n">
        <x:v>1064980</x:v>
      </x:c>
      <x:c r="G7" s="30" t="n">
        <x:v>47.8</x:v>
      </x:c>
      <x:c r="H7" s="28" t="n">
        <x:v>0.71</x:v>
      </x:c>
    </x:row>
    <x:row r="8">
      <x:c r="A8" s="14" t="str">
        <x:v>Construction &amp; Home Improvement</x:v>
      </x:c>
      <x:c r="B8" s="14" t="n">
        <x:v>4</x:v>
      </x:c>
      <x:c r="C8" s="14" t="n">
        <x:v>4</x:v>
      </x:c>
      <x:c r="D8" s="14" t="n">
        <x:v>0</x:v>
      </x:c>
      <x:c r="E8" s="14" t="n">
        <x:v>4</x:v>
      </x:c>
      <x:c r="F8" s="26" t="n">
        <x:v>874600</x:v>
      </x:c>
      <x:c r="G8" s="30" t="n">
        <x:v>35</x:v>
      </x:c>
      <x:c r="H8" s="28" t="n">
        <x:v>1.64</x:v>
      </x:c>
    </x:row>
    <x:row r="9">
      <x:c r="A9" s="14" t="str">
        <x:v>Salary, Payroll &amp; Tax</x:v>
      </x:c>
      <x:c r="B9" s="14" t="n">
        <x:v>14</x:v>
      </x:c>
      <x:c r="C9" s="14" t="n">
        <x:v>14</x:v>
      </x:c>
      <x:c r="D9" s="14" t="n">
        <x:v>0</x:v>
      </x:c>
      <x:c r="E9" s="14" t="n">
        <x:v>11</x:v>
      </x:c>
      <x:c r="F9" s="26" t="n">
        <x:v>668710</x:v>
      </x:c>
      <x:c r="G9" s="30" t="n">
        <x:v>51.4</x:v>
      </x:c>
      <x:c r="H9" s="28" t="n">
        <x:v>4.11</x:v>
      </x:c>
    </x:row>
    <x:row r="10">
      <x:c r="A10" s="14" t="str">
        <x:v>Mortgage &amp; Real Estate</x:v>
      </x:c>
      <x:c r="B10" s="14" t="n">
        <x:v>11</x:v>
      </x:c>
      <x:c r="C10" s="14" t="n">
        <x:v>11</x:v>
      </x:c>
      <x:c r="D10" s="14" t="n">
        <x:v>0</x:v>
      </x:c>
      <x:c r="E10" s="14" t="n">
        <x:v>5</x:v>
      </x:c>
      <x:c r="F10" s="26" t="n">
        <x:v>390080</x:v>
      </x:c>
      <x:c r="G10" s="30" t="n">
        <x:v>60.2</x:v>
      </x:c>
      <x:c r="H10" s="28" t="n">
        <x:v>3.44</x:v>
      </x:c>
    </x:row>
    <x:row r="11">
      <x:c r="A11" s="14" t="str">
        <x:v>Pregnancy &amp; Family</x:v>
      </x:c>
      <x:c r="B11" s="14" t="n">
        <x:v>4</x:v>
      </x:c>
      <x:c r="C11" s="14" t="n">
        <x:v>4</x:v>
      </x:c>
      <x:c r="D11" s="14" t="n">
        <x:v>0</x:v>
      </x:c>
      <x:c r="E11" s="14" t="n">
        <x:v>4</x:v>
      </x:c>
      <x:c r="F11" s="26" t="n">
        <x:v>282960</x:v>
      </x:c>
      <x:c r="G11" s="30" t="n">
        <x:v>58</x:v>
      </x:c>
      <x:c r="H11" s="28" t="n">
        <x:v>0.97</x:v>
      </x:c>
    </x:row>
    <x:row r="12">
      <x:c r="A12" s="14" t="str">
        <x:v>Lifestyle &amp; Entertainment</x:v>
      </x:c>
      <x:c r="B12" s="14" t="n">
        <x:v>4</x:v>
      </x:c>
      <x:c r="C12" s="14" t="n">
        <x:v>4</x:v>
      </x:c>
      <x:c r="D12" s="14" t="n">
        <x:v>0</x:v>
      </x:c>
      <x:c r="E12" s="14" t="n">
        <x:v>4</x:v>
      </x:c>
      <x:c r="F12" s="26" t="n">
        <x:v>131300</x:v>
      </x:c>
      <x:c r="G12" s="30" t="n">
        <x:v>61</x:v>
      </x:c>
      <x:c r="H12" s="28" t="n">
        <x:v>12.82</x:v>
      </x:c>
    </x:row>
    <x:row r="13">
      <x:c r="A13" s="14" t="str">
        <x:v>Conversions &amp; Units</x:v>
      </x:c>
      <x:c r="B13" s="14" t="n">
        <x:v>13</x:v>
      </x:c>
      <x:c r="C13" s="14" t="n">
        <x:v>11</x:v>
      </x:c>
      <x:c r="D13" s="14" t="n">
        <x:v>2</x:v>
      </x:c>
      <x:c r="E13" s="14" t="n">
        <x:v>10</x:v>
      </x:c>
      <x:c r="F13" s="26" t="n">
        <x:v>85370</x:v>
      </x:c>
      <x:c r="G13" s="30" t="n">
        <x:v>39.2</x:v>
      </x:c>
      <x:c r="H13" s="28" t="n">
        <x:v>0.38</x:v>
      </x:c>
    </x:row>
    <x:row r="14">
      <x:c r="A14" s="14" t="str">
        <x:v>Government &amp; Benefits</x:v>
      </x:c>
      <x:c r="B14" s="14" t="n">
        <x:v>2</x:v>
      </x:c>
      <x:c r="C14" s="14" t="n">
        <x:v>2</x:v>
      </x:c>
      <x:c r="D14" s="14" t="n">
        <x:v>0</x:v>
      </x:c>
      <x:c r="E14" s="14" t="n">
        <x:v>2</x:v>
      </x:c>
      <x:c r="F14" s="26" t="n">
        <x:v>49570</x:v>
      </x:c>
      <x:c r="G14" s="30" t="n">
        <x:v>52.5</x:v>
      </x:c>
      <x:c r="H14" s="28" t="n">
        <x:v>0.17</x:v>
      </x:c>
    </x:row>
    <x:row r="15">
      <x:c r="A15" s="14" t="str">
        <x:v>Travel &amp; Automotive</x:v>
      </x:c>
      <x:c r="B15" s="14" t="n">
        <x:v>1</x:v>
      </x:c>
      <x:c r="C15" s="14" t="n">
        <x:v>1</x:v>
      </x:c>
      <x:c r="D15" s="14" t="n">
        <x:v>0</x:v>
      </x:c>
      <x:c r="E15" s="14" t="n">
        <x:v>1</x:v>
      </x:c>
      <x:c r="F15" s="26" t="n">
        <x:v>18100</x:v>
      </x:c>
      <x:c r="G15" s="30" t="n">
        <x:v>50</x:v>
      </x:c>
      <x:c r="H15" s="28" t="n">
        <x:v>3.59</x:v>
      </x:c>
    </x:row>
  </x:sheetData>
  <x:pageMargins left="0.7" right="0.7" top="0.75" bottom="0.75" header="0.3" footer="0.3"/>
  <x:drawing xmlns:r="http://schemas.openxmlformats.org/officeDocument/2006/relationships" r:id="Rdc56428e2fe642b7"/>
  <x:tableParts count="1">
    <x:tablePart xmlns:r="http://schemas.openxmlformats.org/officeDocument/2006/relationships" r:id="R58665dc8511445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>
      <x:c r="A1" s="22" t="str">
        <x:v>US Calculator Keyword Analysis</x:v>
      </x:c>
      <x:c r="B1" s="22" t="str">
        <x:v>Scope: only the 434 Ubersuggest keywords supplied by the user (English / United States).</x:v>
      </x:c>
    </x:row>
    <x:row r="2">
      <x:c r="A2" s="20" t="str">
        <x:v>Real Calculator? — Yes</x:v>
      </x:c>
      <x:c r="B2" s="2" t="str">
        <x:v>The keyword clearly describes a calculation, conversion, estimate, formula, or measurable result.</x:v>
      </x:c>
    </x:row>
    <x:row r="3">
      <x:c r="A3" s="20" t="str">
        <x:v>Real Calculator? — Maybe</x:v>
      </x:c>
      <x:c r="B3" s="2" t="str">
        <x:v>The query can describe a calculator, but its meaning or SERP intent is ambiguous.</x:v>
      </x:c>
    </x:row>
    <x:row r="4">
      <x:c r="A4" s="20" t="str">
        <x:v>Real Calculator? — No</x:v>
      </x:c>
      <x:c r="B4" s="2" t="str">
        <x:v>The query is primarily about an app, device/model, brand, download, game, media, or navigation.</x:v>
      </x:c>
    </x:row>
    <x:row r="5">
      <x:c r="A5" s="20" t="str">
        <x:v>SEO Score</x:v>
      </x:c>
      <x:c r="B5" s="2" t="str">
        <x:v>100 minus SEO Difficulty. Therefore, lower difficulty receives a higher score.</x:v>
      </x:c>
    </x:row>
    <x:row r="6">
      <x:c r="A6" s="20" t="str">
        <x:v>Demand Score</x:v>
      </x:c>
      <x:c r="B6" s="2" t="str">
        <x:v>Logarithmic score based on Search Volume, capped at 100.</x:v>
      </x:c>
    </x:row>
    <x:row r="7">
      <x:c r="A7" s="20" t="str">
        <x:v>Commercial Score</x:v>
      </x:c>
      <x:c r="B7" s="2" t="str">
        <x:v>Score based on CPC, capped at 100.</x:v>
      </x:c>
    </x:row>
    <x:row r="8">
      <x:c r="A8" s="20" t="str">
        <x:v>Overall Priority</x:v>
      </x:c>
      <x:c r="B8" s="2" t="str">
        <x:v>45% SEO ease + 30% demand + 15% CPC + development bonus + US relevance bonus.</x:v>
      </x:c>
    </x:row>
    <x:row r="9">
      <x:c r="A9" s="20" t="str">
        <x:v>Combined Search Volume*</x:v>
      </x:c>
      <x:c r="B9" s="2" t="str">
        <x:v>Sum of keyword variants; this may overstate unique traffic because close variants can overlap.</x:v>
      </x:c>
    </x:row>
    <x:row r="10">
      <x:c r="A10" s="20" t="str">
        <x:v>Development Complexity</x:v>
      </x:c>
      <x:c r="B10" s="2" t="str">
        <x:v>Easy = fixed formula/simple converter; Medium = multiple assumptions; Complex = rules/data that may require updates.</x:v>
      </x:c>
    </x:row>
    <x:row r="11">
      <x:c r="A11" s="20" t="str">
        <x:v>Important</x:v>
      </x:c>
      <x:c r="B11" s="2" t="str">
        <x:v>The workbook does not add external keywords, articles, or content ideas. It analyzes only the supplied list.</x:v>
      </x:c>
    </x:row>
  </x:sheetData>
  <x:pageMargins left="0.7" right="0.7" top="0.75" bottom="0.75" header="0.3" footer="0.3"/>
</x:worksheet>
</file>